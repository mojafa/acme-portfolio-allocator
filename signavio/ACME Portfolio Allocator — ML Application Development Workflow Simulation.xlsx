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0.xml"/>
  <Override ContentType="application/vnd.ms-office.chartcolorstyle+xml" PartName="/xl/charts/colors1.xml"/>
  <Override ContentType="application/vnd.ms-office.chartcolorstyle+xml" PartName="/xl/charts/colors2.xml"/>
  <Override ContentType="application/vnd.ms-office.chartcolorstyle+xml" PartName="/xl/charts/colors3.xml"/>
  <Override ContentType="application/vnd.ms-office.chartcolorstyle+xml" PartName="/xl/charts/colors4.xml"/>
  <Override ContentType="application/vnd.ms-office.chartcolorstyle+xml" PartName="/xl/charts/colors5.xml"/>
  <Override ContentType="application/vnd.ms-office.chartcolorstyle+xml" PartName="/xl/charts/colors6.xml"/>
  <Override ContentType="application/vnd.ms-office.chartcolorstyle+xml" PartName="/xl/charts/colors7.xml"/>
  <Override ContentType="application/vnd.ms-office.chartcolorstyle+xml" PartName="/xl/charts/colors8.xml"/>
  <Override ContentType="application/vnd.ms-office.chartcolorstyle+xml" PartName="/xl/charts/colors9.xml"/>
  <Override ContentType="application/vnd.ms-office.chartcolorstyle+xml" PartName="/xl/charts/colors10.xml"/>
  <Override ContentType="application/vnd.ms-office.chartstyle+xml" PartName="/xl/charts/style1.xml"/>
  <Override ContentType="application/vnd.ms-office.chartstyle+xml" PartName="/xl/charts/style2.xml"/>
  <Override ContentType="application/vnd.ms-office.chartstyle+xml" PartName="/xl/charts/style3.xml"/>
  <Override ContentType="application/vnd.ms-office.chartstyle+xml" PartName="/xl/charts/style4.xml"/>
  <Override ContentType="application/vnd.ms-office.chartstyle+xml" PartName="/xl/charts/style5.xml"/>
  <Override ContentType="application/vnd.ms-office.chartstyle+xml" PartName="/xl/charts/style6.xml"/>
  <Override ContentType="application/vnd.ms-office.chartstyle+xml" PartName="/xl/charts/style7.xml"/>
  <Override ContentType="application/vnd.ms-office.chartstyle+xml" PartName="/xl/charts/style8.xml"/>
  <Override ContentType="application/vnd.ms-office.chartstyle+xml" PartName="/xl/charts/style9.xml"/>
  <Override ContentType="application/vnd.ms-office.chartstyle+xml" PartName="/xl/charts/style10.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2.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stefan.krumnow\workspaces\signavio\Signavio Trunk\platform\WebContent\WEB-INF\excel\simulation\"/>
    </mc:Choice>
  </mc:AlternateContent>
  <bookViews>
    <workbookView xWindow="0" yWindow="0" windowWidth="28800" windowHeight="13020" tabRatio="784"/>
  </bookViews>
  <sheets>
    <sheet name="Overview" sheetId="1" r:id="rId1"/>
    <sheet name="Costs" sheetId="15" r:id="rId2"/>
    <sheet name="Total cost charts" sheetId="11" r:id="rId3"/>
    <sheet name="Total cycle time" sheetId="3" r:id="rId4"/>
    <sheet name="Total time charts" sheetId="12" r:id="rId5"/>
    <sheet name="Resource consumption" sheetId="4" r:id="rId6"/>
    <sheet name="Resource consumption charts" sheetId="13" r:id="rId7"/>
    <sheet name="Bottlenecks" sheetId="5" r:id="rId8"/>
    <sheet name="Bottleneck charts" sheetId="14" r:id="rId9"/>
    <sheet name="hiddenData" sheetId="8" state="hidden" r:id="rId12"/>
    <sheet name="Scenario mvpp" r:id="rId16" sheetId="16"/>
    <sheet name="Scenario mvp" r:id="rId17" sheetId="17"/>
  </sheets>
  <definedNames>
    <definedName name="ActivityNames">hiddenData!$A$1:$A$18</definedName>
    <definedName name="Bottleneck0">hiddenData!$H$1:$H$18</definedName>
    <definedName name="Bottleneck1">hiddenData!$I$1:$I$18</definedName>
    <definedName name="Consumption0">hiddenData!$F$1:$F$4</definedName>
    <definedName name="Consumption1">hiddenData!$G$1:$G$4</definedName>
    <definedName name="Resources">hiddenData!$F$5:$F$8</definedName>
    <definedName name="TotalCosts0">hiddenData!$B$1:$B$18</definedName>
    <definedName name="TotalCosts1">hiddenData!$C$1:$C$18</definedName>
    <definedName name="TotalTime0">hiddenData!$D$1:$D$18</definedName>
    <definedName name="TotalTime1">hiddenData!$E$1:$E$18</definedName>
  </definedNames>
  <calcPr calcId="152511"/>
</workbook>
</file>

<file path=xl/sharedStrings.xml><?xml version="1.0" encoding="utf-8"?>
<sst xmlns="http://schemas.openxmlformats.org/spreadsheetml/2006/main" count="682" uniqueCount="120">
  <si>
    <t>Report</t>
  </si>
  <si>
    <t>Simulation</t>
  </si>
  <si>
    <t>Date</t>
  </si>
  <si>
    <t>4/20/26</t>
  </si>
  <si>
    <t>Time</t>
  </si>
  <si>
    <t>11:12 PM</t>
  </si>
  <si>
    <t>User</t>
  </si>
  <si>
    <t>Mohamed Jaafar</t>
  </si>
  <si>
    <t>Process</t>
  </si>
  <si>
    <t>ACME Portfolio Allocator — ML Application Development Workflow</t>
  </si>
  <si>
    <t>Used scenario</t>
  </si>
  <si>
    <t>Duration in days</t>
  </si>
  <si>
    <t>Total cycle time</t>
  </si>
  <si>
    <t>Resource consumption</t>
  </si>
  <si>
    <t>Bottlenecks</t>
  </si>
  <si>
    <t>mvpp</t>
  </si>
  <si>
    <t>MLOps / Deployment; Model Development</t>
  </si>
  <si>
    <t>mvp</t>
  </si>
  <si>
    <t>Model Development; MLOps / Deployment; Monitoring &amp; Retraining; Data Engineering</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</si>
  <si>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</si>
  <si>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Execution costs of a process instance are the sum of fixed activity costs and resources costs. The
latter ones are computed using defined responsibilities and activity execution durations. The following
table shows selected process instance costs as well as the total sum of all costs:</t>
  </si>
  <si>
    <t>Average</t>
  </si>
  <si>
    <t>Minimum</t>
  </si>
  <si>
    <t>Maximum</t>
  </si>
  <si>
    <t>Total costs</t>
  </si>
  <si>
    <t>The following table shows the costs caused by every activity of your process:</t>
  </si>
  <si>
    <t>Task</t>
  </si>
  <si>
    <t>Completed instances</t>
  </si>
  <si>
    <t>Ingest yfinance Prices (12 ETFs)</t>
  </si>
  <si>
    <t>Generate Synthetic Client Profiles (N=2500)</t>
  </si>
  <si>
    <t>Apply Adviser Labelling Rule</t>
  </si>
  <si>
    <t>Build Feature Matrix (7 client + 3 market)</t>
  </si>
  <si>
    <t>Train/Test Split + StandardScaler</t>
  </si>
  <si>
    <t>Train DecisionTreeClassifier</t>
  </si>
  <si>
    <t>Train MLPClassifier</t>
  </si>
  <si>
    <t>Compare Accuracy / F1 / ROC-AUC</t>
  </si>
  <si>
    <t>Select Random Forest (best accuracy + explainable)</t>
  </si>
  <si>
    <t>Compute SHAP for Transparency</t>
  </si>
  <si>
    <t>joblib.dump Model + Scaler + Metadata</t>
  </si>
  <si>
    <t>Register in Model Registry</t>
  </si>
  <si>
    <t>Integration Test (load + predict new case)</t>
  </si>
  <si>
    <t>Serve via Streamlit Adviser UI</t>
  </si>
  <si>
    <t>Log Predictions + Probabilities</t>
  </si>
  <si>
    <t>Check Class-Mix + Confidence Drift</t>
  </si>
  <si>
    <t>Trigger Retraining</t>
  </si>
  <si>
    <t>Train RandomForestClassifier</t>
  </si>
  <si>
    <t>Latest run Total costs</t>
  </si>
  <si>
    <t>Previous run Total costs</t>
  </si>
  <si>
    <t>Legend</t>
  </si>
  <si>
    <t>All values are relative to the highest value</t>
  </si>
  <si>
    <t>Latest run</t>
  </si>
  <si>
    <t>Previous run</t>
  </si>
  <si>
    <t>100%</t>
  </si>
  <si>
    <t>&gt;87.5%</t>
  </si>
  <si>
    <t>&gt;75%</t>
  </si>
  <si>
    <t>&gt;62.5%</t>
  </si>
  <si>
    <t>&gt;50%</t>
  </si>
  <si>
    <t>&lt;=50% or smallest value</t>
  </si>
  <si>
    <t>The cycle time of a process instance is measured between its start and completion. The following table shows selected process instance cycle times as well as the total sum of all run cycles:</t>
  </si>
  <si>
    <t>The cycle time of a process instance is measured between its start and completion. The following table shows selected
process instance cycle times as well as the total sum of all run cycles:</t>
  </si>
  <si>
    <t>Execution times incl. waiting times</t>
  </si>
  <si>
    <t>The following table shows for each activity how long its execution took with respect to existing working schedules without taking available resources into account:</t>
  </si>
  <si>
    <t>The following table shows for each activity how long its execution took with respect to existing working schedules without
taking available resources into account:</t>
  </si>
  <si>
    <t>Total execution time</t>
  </si>
  <si>
    <t>Total execution
time</t>
  </si>
  <si>
    <t>Pure execution times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</si>
  <si>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</si>
  <si>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Within a process instance, several activities are executed. This happens sub-sequentially, delayed or in parallel. The
following table shows for each activity how long its pure execution took. The values ​​do not include any existing waiting
times, those are included in the table at 'Execution times incl. waiting times'. Please note that waiting times due
to missing resources are not displayed here, as they are analyzed under “Bottlenecks”.</t>
  </si>
  <si>
    <t>Latest run Total cycle time</t>
  </si>
  <si>
    <t>Previous run Total cycle time</t>
  </si>
  <si>
    <t>The execution of activities is performed by resources. The following table shows the workload of all resources in your scenario:</t>
  </si>
  <si>
    <t>The execution of activities is performed by resources. The following table shows
the workload of all resources in your scenario:</t>
  </si>
  <si>
    <t>Resources</t>
  </si>
  <si>
    <t>Consumed time</t>
  </si>
  <si>
    <t>Workload</t>
  </si>
  <si>
    <t>MLOps / Deployment</t>
  </si>
  <si>
    <t>Model Development</t>
  </si>
  <si>
    <t>Data Engineering</t>
  </si>
  <si>
    <t>Monitoring &amp; Retraining</t>
  </si>
  <si>
    <t>Latest run Workload</t>
  </si>
  <si>
    <t>Previous run Workload</t>
  </si>
  <si>
    <t>The execution of a process instance might be delayed due to a shortage of resources: When an activity is ready for execution but all resources are already allocated, the execution has to wait. The following table shows activities that were delayed:</t>
  </si>
  <si>
    <t>The execution of a process instance might be delayed due to a shortage of resources: When an activity
is ready for execution but all resources are already allocated, the execution has to wait. The following
table shows activities that were delayed:</t>
  </si>
  <si>
    <t>Total waiting time</t>
  </si>
  <si>
    <t>Instances waiting at termination</t>
  </si>
  <si>
    <t>Total waiting
time</t>
  </si>
  <si>
    <t>Instances waiting
at termination</t>
  </si>
  <si>
    <t>Latest run Total waiting time</t>
  </si>
  <si>
    <t>Previous run Total waiting time</t>
  </si>
  <si>
    <t>Costs and Duration</t>
  </si>
  <si>
    <t>Execution costs</t>
  </si>
  <si>
    <t>Execution time</t>
  </si>
  <si>
    <t>00h 04m</t>
  </si>
  <si>
    <t>00h 02m</t>
  </si>
  <si>
    <t>00h 03m</t>
  </si>
  <si>
    <t>00h 10m</t>
  </si>
  <si>
    <t>00h 01m</t>
  </si>
  <si>
    <t>00h 06m</t>
  </si>
  <si>
    <t>00h 08m</t>
  </si>
  <si>
    <t>00h 48m</t>
  </si>
  <si>
    <t>00h 18m</t>
  </si>
  <si>
    <t>00h 14m</t>
  </si>
  <si>
    <t>Frequency and probabilities</t>
  </si>
  <si>
    <t>Start event</t>
  </si>
  <si>
    <t>Frequency</t>
  </si>
  <si>
    <t>Build / Retrain Trigger</t>
  </si>
  <si>
    <t>On Mon-Fri; overall 20 times</t>
  </si>
  <si>
    <t>Gateway</t>
  </si>
  <si>
    <t>Decision</t>
  </si>
  <si>
    <t>Probability</t>
  </si>
  <si>
    <t>Meets deployment threshold?</t>
  </si>
  <si>
    <t>No (retune)</t>
  </si>
  <si>
    <t>Yes</t>
  </si>
  <si>
    <t>Drift detected?</t>
  </si>
  <si>
    <t>No</t>
  </si>
  <si>
    <t>Retire model?</t>
  </si>
  <si>
    <t>Role</t>
  </si>
  <si>
    <t>Work schedules</t>
  </si>
  <si>
    <t>Costs/hour</t>
  </si>
  <si>
    <t>1 employees; 40 hours per week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</si>
</sst>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quot;h&quot;:mm&quot;m&quot; ss&quot;s&quot;"/>
    <numFmt numFmtId="165" formatCode="&quot;€&quot;&quot; &quot;#,##0.00;&quot;(&quot;&quot;€&quot;&quot; &quot;#,##0.00&quot;)&quot;"/>
  </numFmts>
  <fonts count="4" x14ac:knownFonts="1">
    <font>
      <sz val="11"/>
      <color indexed="8"/>
      <name val="Calibri"/>
      <family val="2"/>
      <scheme val="minor"/>
    </font>
    <font>
      <name val="Tahoma"/>
      <sz val="11.0"/>
    </font>
    <font>
      <name val="Tahoma"/>
      <sz val="11.0"/>
      <b val="true"/>
    </font>
    <font>
      <name val="Tahoma"/>
      <sz val="11.0"/>
      <u val="single"/>
      <b val="true"/>
    </font>
  </fonts>
  <fills count="26">
    <fill>
      <patternFill patternType="none"/>
    </fill>
    <fill>
      <patternFill patternType="gray125"/>
    </fill>
    <fill>
      <patternFill patternType="solid"/>
    </fill>
    <fill>
      <patternFill patternType="solid">
        <fgColor rgb="61AEF2"/>
      </patternFill>
    </fill>
    <fill>
      <patternFill patternType="solid">
        <fgColor rgb="7ABBF4"/>
      </patternFill>
    </fill>
    <fill>
      <patternFill patternType="solid">
        <fgColor rgb="9ACBF7"/>
      </patternFill>
    </fill>
    <fill>
      <patternFill patternType="solid">
        <fgColor rgb="B3D8F9"/>
      </patternFill>
    </fill>
    <fill>
      <patternFill patternType="solid">
        <fgColor rgb="C6E0F7"/>
      </patternFill>
    </fill>
    <fill>
      <patternFill patternType="none">
        <fgColor rgb="61AEF2"/>
      </patternFill>
    </fill>
    <fill>
      <patternFill patternType="none">
        <fgColor rgb="7ABBF4"/>
      </patternFill>
    </fill>
    <fill>
      <patternFill patternType="none">
        <fgColor rgb="9ACBF7"/>
      </patternFill>
    </fill>
    <fill>
      <patternFill patternType="none">
        <fgColor rgb="B3D8F9"/>
      </patternFill>
    </fill>
    <fill>
      <patternFill patternType="none">
        <fgColor rgb="C6E0F7"/>
      </patternFill>
    </fill>
    <fill>
      <patternFill patternType="none">
        <fgColor rgb="A3A3A3"/>
      </patternFill>
    </fill>
    <fill>
      <patternFill patternType="solid">
        <fgColor rgb="A3A3A3"/>
      </patternFill>
    </fill>
    <fill>
      <patternFill patternType="none">
        <fgColor rgb="AFAFAF"/>
      </patternFill>
    </fill>
    <fill>
      <patternFill patternType="solid">
        <fgColor rgb="AFAFAF"/>
      </patternFill>
    </fill>
    <fill>
      <patternFill patternType="none">
        <fgColor rgb="C0C0C0"/>
      </patternFill>
    </fill>
    <fill>
      <patternFill patternType="solid">
        <fgColor rgb="C0C0C0"/>
      </patternFill>
    </fill>
    <fill>
      <patternFill patternType="none">
        <fgColor rgb="CDCDCD"/>
      </patternFill>
    </fill>
    <fill>
      <patternFill patternType="solid">
        <fgColor rgb="CDCDCD"/>
      </patternFill>
    </fill>
    <fill>
      <patternFill patternType="none">
        <fgColor rgb="D5D5D5"/>
      </patternFill>
    </fill>
    <fill>
      <patternFill patternType="solid">
        <fgColor rgb="D5D5D5"/>
      </patternFill>
    </fill>
    <fill>
      <patternFill/>
    </fill>
    <fill>
      <patternFill>
        <fgColor indexed="64"/>
      </patternFill>
    </fill>
    <fill>
      <patternFill>
        <fgColor indexed="64"/>
        <bgColor indexed="64"/>
      </patternFill>
    </fill>
  </fills>
  <borders count="56">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63"/>
      </bottom>
    </border>
    <border>
      <left style="thin">
        <color indexed="63"/>
      </left>
      <right style="thin"/>
      <top style="thin"/>
      <bottom style="thin">
        <color indexed="63"/>
      </bottom>
    </border>
    <border>
      <left style="thin">
        <color indexed="63"/>
      </left>
      <right style="thin"/>
      <top style="thin">
        <color indexed="63"/>
      </top>
      <bottom style="thin">
        <color indexed="63"/>
      </bottom>
    </border>
    <border>
      <left style="thin">
        <color indexed="63"/>
      </left>
      <right style="thin">
        <color indexed="63"/>
      </right>
      <top style="thin">
        <color indexed="63"/>
      </top>
      <bottom style="thin">
        <color indexed="63"/>
      </bottom>
    </border>
    <border>
      <left style="thin"/>
    </border>
    <border>
      <right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color indexed="8"/>
      </bottom>
    </border>
    <border>
      <left>
        <color indexed="8"/>
      </left>
      <right style="thin"/>
      <bottom>
        <color indexed="8"/>
      </bottom>
    </border>
    <border>
      <left>
        <color indexed="8"/>
      </left>
      <right style="thin">
        <color indexed="8"/>
      </right>
      <bottom>
        <color indexed="8"/>
      </bottom>
    </border>
    <border>
      <left>
        <color indexed="8"/>
      </left>
      <right style="thin">
        <color indexed="8"/>
      </right>
      <top>
        <color indexed="8"/>
      </top>
      <bottom>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top style="thin"/>
    </border>
    <border>
      <left style="thin"/>
      <top style="thin"/>
      <bottom>
        <color indexed="8"/>
      </bottom>
    </border>
    <border>
      <left style="thin">
        <color indexed="8"/>
      </left>
      <top style="thin"/>
      <bottom>
        <color indexed="8"/>
      </bottom>
    </border>
    <border>
      <left style="thin">
        <color indexed="8"/>
      </left>
      <right>
        <color indexed="8"/>
      </right>
      <top style="thin"/>
      <bottom>
        <color indexed="8"/>
      </bottom>
    </border>
    <border>
      <left style="thin">
        <color indexed="8"/>
      </left>
      <right>
        <color indexed="8"/>
      </right>
      <top style="thin">
        <color indexed="8"/>
      </top>
      <bottom>
        <color indexed="8"/>
      </bottom>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style="thin"/>
      <right style="thin"/>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s>
  <cellStyleXfs count="1">
    <xf numFmtId="0" fontId="0" fillId="0" borderId="0"/>
  </cellStyleXfs>
  <cellXfs count="84">
    <xf numFmtId="0" fontId="0" fillId="0" borderId="0" xfId="0"/>
    <xf numFmtId="15" fontId="0" fillId="0" borderId="0" xfId="0" applyNumberFormat="1"/>
    <xf numFmtId="0" fontId="1" fillId="0" borderId="0" xfId="0" applyAlignment="true" applyFont="true">
      <alignment vertical="top" wrapText="true"/>
    </xf>
    <xf numFmtId="0" fontId="2" fillId="0" borderId="0" xfId="0" applyAlignment="true" applyFont="true">
      <alignment vertical="top" wrapText="true"/>
    </xf>
    <xf numFmtId="0" fontId="3" fillId="0" borderId="0" xfId="0" applyAlignment="true" applyFont="true">
      <alignment vertical="top" wrapText="true"/>
    </xf>
    <xf numFmtId="0" fontId="2" fillId="0" borderId="8" xfId="0" applyAlignment="true" applyFont="true" applyBorder="true">
      <alignment vertical="top" wrapText="true"/>
    </xf>
    <xf numFmtId="0" fontId="1" fillId="0" borderId="8" xfId="0" applyAlignment="true" applyFont="true" applyBorder="true">
      <alignment vertical="top" wrapText="true"/>
    </xf>
    <xf numFmtId="0" fontId="1" fillId="0" borderId="8" xfId="0" applyAlignment="true" applyFont="true" applyBorder="true">
      <alignment vertical="top" wrapText="true" horizontal="right"/>
    </xf>
    <xf numFmtId="164" fontId="1" fillId="0" borderId="8" xfId="0" applyAlignment="true" applyFont="true" applyBorder="true" applyNumberFormat="true">
      <alignment vertical="top" wrapText="true"/>
    </xf>
    <xf numFmtId="10"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165" fontId="1" fillId="0" borderId="8" xfId="0" applyAlignment="true" applyFont="true" applyBorder="true" applyNumberFormat="true">
      <alignment vertical="top" wrapText="true"/>
    </xf>
    <xf numFmtId="0" fontId="1" fillId="0" borderId="8" xfId="0" applyAlignment="true" applyFont="true" applyBorder="true">
      <alignment vertical="top" wrapText="true"/>
    </xf>
    <xf numFmtId="10" fontId="1" fillId="0" borderId="8" xfId="0" applyAlignment="true" applyFont="true" applyBorder="true" applyNumberFormat="true">
      <alignment vertical="top" wrapText="true"/>
    </xf>
    <xf numFmtId="164" fontId="1" fillId="0" borderId="8" xfId="0" applyAlignment="true" applyFont="true" applyBorder="true" applyNumberFormat="true">
      <alignment vertical="top" wrapText="true"/>
    </xf>
    <xf numFmtId="0" fontId="1" fillId="3" borderId="9" xfId="0" applyAlignment="true" applyFont="true" applyFill="true" applyBorder="true">
      <alignment vertical="top" wrapText="true"/>
    </xf>
    <xf numFmtId="0" fontId="1" fillId="4" borderId="9" xfId="0" applyAlignment="true" applyFont="true" applyFill="true" applyBorder="true">
      <alignment vertical="top" wrapText="true"/>
    </xf>
    <xf numFmtId="0" fontId="1" fillId="5" borderId="9" xfId="0" applyAlignment="true" applyFont="true" applyFill="true" applyBorder="true">
      <alignment vertical="top" wrapText="true"/>
    </xf>
    <xf numFmtId="0" fontId="1" fillId="6" borderId="9" xfId="0" applyAlignment="true" applyFont="true" applyFill="true" applyBorder="true">
      <alignment vertical="top" wrapText="true"/>
    </xf>
    <xf numFmtId="0" fontId="1" fillId="7" borderId="9" xfId="0" applyAlignment="true" applyFont="true" applyFill="true" applyBorder="true">
      <alignment vertical="top" wrapText="true"/>
    </xf>
    <xf numFmtId="0" fontId="1" fillId="3" borderId="8" xfId="0" applyAlignment="true" applyFont="true" applyBorder="true" applyFill="true">
      <alignment vertical="top" wrapText="true"/>
    </xf>
    <xf numFmtId="0" fontId="1" fillId="4" borderId="8" xfId="0" applyAlignment="true" applyFont="true" applyBorder="true" applyFill="true">
      <alignment vertical="top" wrapText="true"/>
    </xf>
    <xf numFmtId="0" fontId="1" fillId="5" borderId="8" xfId="0" applyAlignment="true" applyFont="true" applyBorder="true" applyFill="true">
      <alignment vertical="top" wrapText="true"/>
    </xf>
    <xf numFmtId="0" fontId="1" fillId="6" borderId="8" xfId="0" applyAlignment="true" applyFont="true" applyBorder="true" applyFill="true">
      <alignment vertical="top" wrapText="true"/>
    </xf>
    <xf numFmtId="0" fontId="1" fillId="7" borderId="8" xfId="0" applyAlignment="true" applyFont="true" applyBorder="true" applyFill="true">
      <alignment vertical="top" wrapText="true"/>
    </xf>
    <xf numFmtId="165" fontId="1" fillId="3" borderId="8" xfId="0" applyAlignment="true" applyFont="true" applyBorder="true" applyNumberFormat="true" applyFill="true">
      <alignment vertical="top" wrapText="true"/>
    </xf>
    <xf numFmtId="165" fontId="1" fillId="4" borderId="8" xfId="0" applyAlignment="true" applyFont="true" applyBorder="true" applyNumberFormat="true" applyFill="true">
      <alignment vertical="top" wrapText="true"/>
    </xf>
    <xf numFmtId="165" fontId="1" fillId="5" borderId="8" xfId="0" applyAlignment="true" applyFont="true" applyBorder="true" applyNumberFormat="true" applyFill="true">
      <alignment vertical="top" wrapText="true"/>
    </xf>
    <xf numFmtId="165" fontId="1" fillId="6" borderId="8" xfId="0" applyAlignment="true" applyFont="true" applyBorder="true" applyNumberFormat="true" applyFill="true">
      <alignment vertical="top" wrapText="true"/>
    </xf>
    <xf numFmtId="165" fontId="1" fillId="7" borderId="8" xfId="0" applyAlignment="true" applyFont="true" applyBorder="true" applyNumberFormat="true" applyFill="true">
      <alignment vertical="top" wrapText="true"/>
    </xf>
    <xf numFmtId="10" fontId="1" fillId="3" borderId="8" xfId="0" applyAlignment="true" applyFont="true" applyBorder="true" applyNumberFormat="true" applyFill="true">
      <alignment vertical="top" wrapText="true"/>
    </xf>
    <xf numFmtId="10" fontId="1" fillId="4" borderId="8" xfId="0" applyAlignment="true" applyFont="true" applyBorder="true" applyNumberFormat="true" applyFill="true">
      <alignment vertical="top" wrapText="true"/>
    </xf>
    <xf numFmtId="10" fontId="1" fillId="5" borderId="8" xfId="0" applyAlignment="true" applyFont="true" applyBorder="true" applyNumberFormat="true" applyFill="true">
      <alignment vertical="top" wrapText="true"/>
    </xf>
    <xf numFmtId="10" fontId="1" fillId="6" borderId="8" xfId="0" applyAlignment="true" applyFont="true" applyBorder="true" applyNumberFormat="true" applyFill="true">
      <alignment vertical="top" wrapText="true"/>
    </xf>
    <xf numFmtId="10" fontId="1" fillId="7" borderId="8" xfId="0" applyAlignment="true" applyFont="true" applyBorder="true" applyNumberFormat="true" applyFill="true">
      <alignment vertical="top" wrapText="true"/>
    </xf>
    <xf numFmtId="164" fontId="1" fillId="3" borderId="8" xfId="0" applyAlignment="true" applyFont="true" applyBorder="true" applyNumberFormat="true" applyFill="true">
      <alignment vertical="top" wrapText="true"/>
    </xf>
    <xf numFmtId="164" fontId="1" fillId="4" borderId="8" xfId="0" applyAlignment="true" applyFont="true" applyBorder="true" applyNumberFormat="true" applyFill="true">
      <alignment vertical="top" wrapText="true"/>
    </xf>
    <xf numFmtId="164" fontId="1" fillId="5" borderId="8" xfId="0" applyAlignment="true" applyFont="true" applyBorder="true" applyNumberFormat="true" applyFill="true">
      <alignment vertical="top" wrapText="true"/>
    </xf>
    <xf numFmtId="164" fontId="1" fillId="6" borderId="8" xfId="0" applyAlignment="true" applyFont="true" applyBorder="true" applyNumberFormat="true" applyFill="true">
      <alignment vertical="top" wrapText="true"/>
    </xf>
    <xf numFmtId="164" fontId="1" fillId="7" borderId="8" xfId="0" applyAlignment="true" applyFont="true" applyBorder="true" applyNumberFormat="true" applyFill="true">
      <alignment vertical="top" wrapText="true"/>
    </xf>
    <xf numFmtId="0" fontId="1" fillId="14" borderId="10" xfId="0" applyAlignment="true" applyFont="true" applyFill="true" applyBorder="true">
      <alignment vertical="top" wrapText="true"/>
    </xf>
    <xf numFmtId="0" fontId="1" fillId="16" borderId="10" xfId="0" applyAlignment="true" applyFont="true" applyFill="true" applyBorder="true">
      <alignment vertical="top" wrapText="true"/>
    </xf>
    <xf numFmtId="0" fontId="1" fillId="18" borderId="10" xfId="0" applyAlignment="true" applyFont="true" applyFill="true" applyBorder="true">
      <alignment vertical="top" wrapText="true"/>
    </xf>
    <xf numFmtId="0" fontId="1" fillId="20" borderId="10" xfId="0" applyAlignment="true" applyFont="true" applyFill="true" applyBorder="true">
      <alignment vertical="top" wrapText="true"/>
    </xf>
    <xf numFmtId="0" fontId="1" fillId="22" borderId="10" xfId="0" applyAlignment="true" applyFont="true" applyFill="true" applyBorder="true">
      <alignment vertical="top" wrapText="true"/>
    </xf>
    <xf numFmtId="0" fontId="1" fillId="14" borderId="8" xfId="0" applyAlignment="true" applyFont="true" applyBorder="true" applyFill="true">
      <alignment vertical="top" wrapText="true"/>
    </xf>
    <xf numFmtId="0" fontId="1" fillId="16" borderId="8" xfId="0" applyAlignment="true" applyFont="true" applyBorder="true" applyFill="true">
      <alignment vertical="top" wrapText="true"/>
    </xf>
    <xf numFmtId="0" fontId="1" fillId="18" borderId="8" xfId="0" applyAlignment="true" applyFont="true" applyBorder="true" applyFill="true">
      <alignment vertical="top" wrapText="true"/>
    </xf>
    <xf numFmtId="0" fontId="1" fillId="20" borderId="8" xfId="0" applyAlignment="true" applyFont="true" applyBorder="true" applyFill="true">
      <alignment vertical="top" wrapText="true"/>
    </xf>
    <xf numFmtId="0" fontId="1" fillId="22" borderId="8" xfId="0" applyAlignment="true" applyFont="true" applyBorder="true" applyFill="true">
      <alignment vertical="top" wrapText="true"/>
    </xf>
    <xf numFmtId="165" fontId="1" fillId="14" borderId="8" xfId="0" applyAlignment="true" applyFont="true" applyBorder="true" applyNumberFormat="true" applyFill="true">
      <alignment vertical="top" wrapText="true"/>
    </xf>
    <xf numFmtId="165" fontId="1" fillId="16" borderId="8" xfId="0" applyAlignment="true" applyFont="true" applyBorder="true" applyNumberFormat="true" applyFill="true">
      <alignment vertical="top" wrapText="true"/>
    </xf>
    <xf numFmtId="165" fontId="1" fillId="18" borderId="8" xfId="0" applyAlignment="true" applyFont="true" applyBorder="true" applyNumberFormat="true" applyFill="true">
      <alignment vertical="top" wrapText="true"/>
    </xf>
    <xf numFmtId="165" fontId="1" fillId="20" borderId="8" xfId="0" applyAlignment="true" applyFont="true" applyBorder="true" applyNumberFormat="true" applyFill="true">
      <alignment vertical="top" wrapText="true"/>
    </xf>
    <xf numFmtId="165" fontId="1" fillId="22" borderId="8" xfId="0" applyAlignment="true" applyFont="true" applyBorder="true" applyNumberFormat="true" applyFill="true">
      <alignment vertical="top" wrapText="true"/>
    </xf>
    <xf numFmtId="10" fontId="1" fillId="14" borderId="8" xfId="0" applyAlignment="true" applyFont="true" applyBorder="true" applyNumberFormat="true" applyFill="true">
      <alignment vertical="top" wrapText="true"/>
    </xf>
    <xf numFmtId="10" fontId="1" fillId="16" borderId="8" xfId="0" applyAlignment="true" applyFont="true" applyBorder="true" applyNumberFormat="true" applyFill="true">
      <alignment vertical="top" wrapText="true"/>
    </xf>
    <xf numFmtId="10" fontId="1" fillId="18" borderId="8" xfId="0" applyAlignment="true" applyFont="true" applyBorder="true" applyNumberFormat="true" applyFill="true">
      <alignment vertical="top" wrapText="true"/>
    </xf>
    <xf numFmtId="10" fontId="1" fillId="20" borderId="8" xfId="0" applyAlignment="true" applyFont="true" applyBorder="true" applyNumberFormat="true" applyFill="true">
      <alignment vertical="top" wrapText="true"/>
    </xf>
    <xf numFmtId="10" fontId="1" fillId="22" borderId="8" xfId="0" applyAlignment="true" applyFont="true" applyBorder="true" applyNumberFormat="true" applyFill="true">
      <alignment vertical="top" wrapText="true"/>
    </xf>
    <xf numFmtId="164" fontId="1" fillId="14" borderId="8" xfId="0" applyAlignment="true" applyFont="true" applyBorder="true" applyNumberFormat="true" applyFill="true">
      <alignment vertical="top" wrapText="true"/>
    </xf>
    <xf numFmtId="164" fontId="1" fillId="16" borderId="8" xfId="0" applyAlignment="true" applyFont="true" applyBorder="true" applyNumberFormat="true" applyFill="true">
      <alignment vertical="top" wrapText="true"/>
    </xf>
    <xf numFmtId="164" fontId="1" fillId="18" borderId="8" xfId="0" applyAlignment="true" applyFont="true" applyBorder="true" applyNumberFormat="true" applyFill="true">
      <alignment vertical="top" wrapText="true"/>
    </xf>
    <xf numFmtId="164" fontId="1" fillId="20" borderId="8" xfId="0" applyAlignment="true" applyFont="true" applyBorder="true" applyNumberFormat="true" applyFill="true">
      <alignment vertical="top" wrapText="true"/>
    </xf>
    <xf numFmtId="164" fontId="1" fillId="22" borderId="8" xfId="0" applyAlignment="true" applyFont="true" applyBorder="true" applyNumberFormat="true" applyFill="true">
      <alignment vertical="top" wrapText="true"/>
    </xf>
    <xf numFmtId="0" fontId="2"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4" xfId="0" applyAlignment="true" applyBorder="true" applyNumberFormat="true" applyFill="true" applyFont="true" quotePrefix="false">
      <alignment horizontal="general" vertical="top" indent="0" textRotation="0" wrapText="true" shrinkToFit="false"/>
      <protection hidden="false" locked="true"/>
    </xf>
    <xf numFmtId="0" fontId="1" fillId="25" borderId="18" xfId="0" applyAlignment="true" applyBorder="true" applyNumberFormat="true" applyFill="true" applyFont="true" quotePrefix="false">
      <alignment horizontal="general" vertical="top" indent="0" textRotation="0" wrapText="true" shrinkToFit="false"/>
      <protection hidden="false" locked="true"/>
    </xf>
    <xf numFmtId="0" fontId="1" fillId="25" borderId="23" xfId="0" applyAlignment="true" applyBorder="true" applyNumberFormat="true" applyFill="true" applyFont="true" quotePrefix="false">
      <alignment horizontal="general" vertical="top" indent="0" textRotation="0" wrapText="true" shrinkToFit="false"/>
      <protection hidden="false" locked="true"/>
    </xf>
    <xf numFmtId="0" fontId="2" fillId="25" borderId="27" xfId="0" applyAlignment="true" applyBorder="true" applyNumberFormat="true" applyFill="true" applyFont="true" quotePrefix="false">
      <alignment horizontal="general" vertical="top" indent="0" textRotation="0" wrapText="true" shrinkToFit="false"/>
      <protection hidden="false" locked="true"/>
    </xf>
    <xf numFmtId="0" fontId="2" fillId="25" borderId="31" xfId="0" applyAlignment="true" applyBorder="true" applyNumberFormat="true" applyFill="true" applyFont="true" quotePrefix="false">
      <alignment horizontal="general" vertical="top" indent="0" textRotation="0" wrapText="true" shrinkToFit="false"/>
      <protection hidden="false" locked="true"/>
    </xf>
    <xf numFmtId="0" fontId="2" fillId="25" borderId="36" xfId="0" applyAlignment="true" applyBorder="true" applyNumberFormat="true" applyFill="true" applyFont="true" quotePrefix="false">
      <alignment horizontal="general" vertical="top" indent="0" textRotation="0" wrapText="true" shrinkToFit="false"/>
      <protection hidden="false" locked="true"/>
    </xf>
    <xf numFmtId="0" fontId="1" fillId="25" borderId="41" xfId="0" applyAlignment="true" applyBorder="true" applyNumberFormat="true" applyFill="true" applyFont="true" quotePrefix="false">
      <alignment horizontal="general" vertical="top" indent="0" textRotation="0" wrapText="true" shrinkToFit="false"/>
      <protection hidden="false" locked="true"/>
    </xf>
    <xf numFmtId="0" fontId="0" fillId="25" borderId="14"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31" xfId="0" applyAlignment="true" applyBorder="true" applyNumberFormat="true" applyFill="true" applyFont="true" quotePrefix="false">
      <alignment horizontal="general" vertical="bottom" indent="0" textRotation="0" wrapText="false" shrinkToFit="false"/>
      <protection hidden="false" locked="true"/>
    </xf>
    <xf numFmtId="0" fontId="2" fillId="25" borderId="46" xfId="0" applyAlignment="true" applyBorder="true" applyNumberFormat="true" applyFill="true" applyFont="true" quotePrefix="false">
      <alignment horizontal="general" vertical="top" indent="0" textRotation="0" wrapText="true" shrinkToFit="false"/>
      <protection hidden="false" locked="true"/>
    </xf>
    <xf numFmtId="0" fontId="0" fillId="25" borderId="46"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27" xfId="0" applyAlignment="true" applyBorder="true" applyNumberFormat="true" applyFill="true" applyFont="true" quotePrefix="false">
      <alignment horizontal="general" vertical="top" indent="0" textRotation="0" wrapText="true" shrinkToFit="false"/>
      <protection hidden="false" locked="true"/>
    </xf>
    <xf numFmtId="0" fontId="0" fillId="25" borderId="41"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18" xfId="0" applyAlignment="true" applyBorder="true" applyNumberFormat="true" applyFill="true" applyFont="true" quotePrefix="false">
      <alignment horizontal="general" vertical="bottom" indent="0" textRotation="0" wrapText="false" shrinkToFit="false"/>
      <protection hidden="false" locked="true"/>
    </xf>
    <xf numFmtId="0" fontId="1" fillId="25" borderId="31" xfId="0" applyAlignment="true" applyBorder="true" applyNumberFormat="true" applyFill="true" applyFont="true" quotePrefix="false">
      <alignment horizontal="general" vertical="top" indent="0" textRotation="0" wrapText="true" shrinkToFit="false"/>
      <protection hidden="false" locked="true"/>
    </xf>
    <xf numFmtId="0" fontId="0" fillId="25" borderId="50"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25" borderId="55" xfId="0" applyAlignment="true" applyBorder="true" applyNumberFormat="true" applyFill="true" applyFont="true" quotePrefix="false">
      <alignment horizontal="general" vertical="bottom" indent="0" textRotation="0" wrapText="false" shrinkToFit="false"/>
      <protection hidden="false" locked="true"/>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2" Target="worksheets/sheet12.xml" Type="http://schemas.openxmlformats.org/officeDocument/2006/relationships/worksheet"/><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16" Target="worksheets/sheet16.xml" Type="http://schemas.openxmlformats.org/officeDocument/2006/relationships/worksheet"/><Relationship Id="rId17" Target="worksheets/sheet17.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_rels/chart1.xml.rels><?xml version="1.0" encoding="UTF-8" standalone="yes"?><Relationships xmlns="http://schemas.openxmlformats.org/package/2006/relationships"><Relationship Id="rId1" Target="style1.xml" Type="http://schemas.microsoft.com/office/2011/relationships/chartStyle"/><Relationship Id="rId2" Target="colors1.xml" Type="http://schemas.microsoft.com/office/2011/relationships/chartColorStyle"/></Relationships>
</file>

<file path=xl/charts/_rels/chart2.xml.rels><?xml version="1.0" encoding="UTF-8" standalone="yes"?><Relationships xmlns="http://schemas.openxmlformats.org/package/2006/relationships"><Relationship Id="rId1" Target="style2.xml" Type="http://schemas.microsoft.com/office/2011/relationships/chartStyle"/><Relationship Id="rId2" Target="colors2.xml" Type="http://schemas.microsoft.com/office/2011/relationships/chartColorStyle"/></Relationships>
</file>

<file path=xl/charts/_rels/chart3.xml.rels><?xml version="1.0" encoding="UTF-8" standalone="yes"?><Relationships xmlns="http://schemas.openxmlformats.org/package/2006/relationships"><Relationship Id="rId1" Target="style3.xml" Type="http://schemas.microsoft.com/office/2011/relationships/chartStyle"/><Relationship Id="rId2" Target="colors3.xml" Type="http://schemas.microsoft.com/office/2011/relationships/chartColorStyle"/></Relationships>
</file>

<file path=xl/charts/_rels/chart4.xml.rels><?xml version="1.0" encoding="UTF-8" standalone="yes"?><Relationships xmlns="http://schemas.openxmlformats.org/package/2006/relationships"><Relationship Id="rId1" Target="style4.xml" Type="http://schemas.microsoft.com/office/2011/relationships/chartStyle"/><Relationship Id="rId2" Target="colors4.xml" Type="http://schemas.microsoft.com/office/2011/relationships/chartColorStyle"/></Relationships>
</file>

<file path=xl/charts/_rels/chart5.xml.rels><?xml version="1.0" encoding="UTF-8" standalone="yes"?><Relationships xmlns="http://schemas.openxmlformats.org/package/2006/relationships"><Relationship Id="rId1" Target="style5.xml" Type="http://schemas.microsoft.com/office/2011/relationships/chartStyle"/><Relationship Id="rId2" Target="colors5.xml" Type="http://schemas.microsoft.com/office/2011/relationships/chartColorStyle"/></Relationships>
</file>

<file path=xl/charts/_rels/chart6.xml.rels><?xml version="1.0" encoding="UTF-8" standalone="yes"?><Relationships xmlns="http://schemas.openxmlformats.org/package/2006/relationships"><Relationship Id="rId1" Target="style6.xml" Type="http://schemas.microsoft.com/office/2011/relationships/chartStyle"/><Relationship Id="rId2" Target="colors6.xml" Type="http://schemas.microsoft.com/office/2011/relationships/chartColorStyle"/></Relationships>
</file>

<file path=xl/charts/_rels/chart7.xml.rels><?xml version="1.0" encoding="UTF-8" standalone="yes"?><Relationships xmlns="http://schemas.openxmlformats.org/package/2006/relationships"><Relationship Id="rId1" Target="style7.xml" Type="http://schemas.microsoft.com/office/2011/relationships/chartStyle"/><Relationship Id="rId2" Target="colors7.xml" Type="http://schemas.microsoft.com/office/2011/relationships/chartColorStyle"/></Relationships>
</file>

<file path=xl/charts/_rels/chart8.xml.rels><?xml version="1.0" encoding="UTF-8" standalone="yes"?><Relationships xmlns="http://schemas.openxmlformats.org/package/2006/relationships"><Relationship Id="rId1" Target="style8.xml" Type="http://schemas.microsoft.com/office/2011/relationships/chartStyle"/><Relationship Id="rId2" Target="colors8.xml" Type="http://schemas.microsoft.com/office/2011/relationships/chartColorStyle"/></Relationships>
</file>

<file path=xl/charts/_rels/chart9.xml.rels><?xml version="1.0" encoding="UTF-8" standalone="yes"?><Relationships xmlns="http://schemas.openxmlformats.org/package/2006/relationships"><Relationship Id="rId1" Target="style9.xml" Type="http://schemas.microsoft.com/office/2011/relationships/chartStyle"/><Relationship Id="rId2" Target="colors9.xml" Type="http://schemas.microsoft.com/office/2011/relationships/chartColorStyle"/></Relationships>
</file>

<file path=xl/charts/_rels/chart10.xml.rels><?xml version="1.0" encoding="UTF-8" standalone="yes"?><Relationships xmlns="http://schemas.openxmlformats.org/package/2006/relationships"><Relationship Id="rId1" Target="style10.xml" Type="http://schemas.microsoft.com/office/2011/relationships/chartStyle"/><Relationship Id="rId2" Target="colors10.xml" Type="http://schemas.microsoft.com/office/2011/relationships/chartColorStyle"/></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hiddenData!$J$1</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[0]!TotalCosts0</c:f>
              <c:numCache>
                <c:formatCode>General</c:formatCode>
                <c:ptCount val="1"/>
                <c:pt idx="0">
                  <c:v>1</c:v>
                </c:pt>
              </c:numCache>
            </c:numRef>
          </c:val>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hiddenData!$J$2</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[0]!TotalCosts1</c:f>
              <c:numCache>
                <c:formatCode>General</c:formatCode>
                <c:ptCount val="1"/>
                <c:pt idx="0">
                  <c:v>1</c:v>
                </c:pt>
              </c:numCache>
            </c:numRef>
          </c:val>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hiddenData!$J$3</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[0]!TotalTime0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hiddenData!$J$4</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[0]!TotalTime1</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hiddenData!$J$5</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numRef>
              <c:f>[0]!Resources</c:f>
              <c:numCache>
                <c:formatCode>General</c:formatCode>
                <c:ptCount val="4"/>
              </c:numCache>
            </c:numRef>
          </c:cat>
          <c:val>
            <c:numRef>
              <c:f>[0]!Consumption0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hiddenData!$J$6</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numRef>
              <c:f>[0]!Resources</c:f>
              <c:numCache>
                <c:formatCode>General</c:formatCode>
                <c:ptCount val="4"/>
              </c:numCache>
            </c:numRef>
          </c:cat>
          <c:val>
            <c:numRef>
              <c:f>[0]!Consumption1</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hiddenData!$J$7</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[0]!Bottleneck0</c:f>
              <c:numCache>
                <c:formatCode>General</c:formatCode>
                <c:ptCount val="1"/>
                <c:pt idx="0">
                  <c:v>1</c:v>
                </c:pt>
              </c:numCache>
            </c:numRef>
          </c:val>
          <c:extLst/>
        </c:ser>
        <c:ser>
          <c:idx val="0"/>
          <c:order val="1"/>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[0]!ActivityNames</c:f>
            </c:multiLvlStrRef>
          </c:cat>
          <c:val>
            <c:numRef>
              <c:f>[0]!Bottleneck0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hiddenData!$J$8</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multiLvlStrRef>
          </c:cat>
          <c:val>
            <c:numRef>
              <c:f>[0]!Bottleneck1</c:f>
              <c:numCache>
                <c:formatCode>General</c:formatCode>
                <c:ptCount val="1"/>
                <c:pt idx="0">
                  <c:v>1</c:v>
                </c:pt>
              </c:numCache>
            </c:numRef>
          </c:val>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hiddenData!$J$7</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1"/>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extLst xmlns:c15="http://schemas.microsoft.com/office/drawing/2012/chart"/>
            </c:multiLvlStrRef>
          </c:cat>
          <c:val>
            <c:numRef>
              <c:f>[0]!Bottleneck0</c:f>
              <c:numCache>
                <c:formatCode>General</c:formatCode>
                <c:ptCount val="1"/>
                <c:pt idx="0">
                  <c:v>1</c:v>
                </c:pt>
              </c:numCache>
            </c:numRef>
          </c:val>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hiddenData!$J$8</c:f>
          <c:strCache>
            <c:ptCount val="1"/>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[0]!ActivityNames</c:f>
              <c:extLst xmlns:c15="http://schemas.microsoft.com/office/drawing/2012/chart"/>
            </c:multiLvlStrRef>
          </c:cat>
          <c:val>
            <c:numRef>
              <c:f>[0]!Bottleneck1</c:f>
              <c:numCache>
                <c:formatCode>General</c:formatCode>
                <c:ptCount val="1"/>
                <c:pt idx="0">
                  <c:v>1</c:v>
                </c:pt>
              </c:numCache>
            </c:numRef>
          </c:val>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_rels/drawing2.xml.rels><?xml version="1.0" encoding="UTF-8" standalone="yes"?><Relationships xmlns="http://schemas.openxmlformats.org/package/2006/relationships"><Relationship Id="rId1" Target="../charts/chart3.xml" Type="http://schemas.openxmlformats.org/officeDocument/2006/relationships/chart"/><Relationship Id="rId2" Target="../charts/chart4.xml" Type="http://schemas.openxmlformats.org/officeDocument/2006/relationships/chart"/></Relationships>
</file>

<file path=xl/drawings/_rels/drawing3.xml.rels><?xml version="1.0" encoding="UTF-8" standalone="yes"?><Relationships xmlns="http://schemas.openxmlformats.org/package/2006/relationships"><Relationship Id="rId1" Target="../charts/chart5.xml" Type="http://schemas.openxmlformats.org/officeDocument/2006/relationships/chart"/><Relationship Id="rId2" Target="../charts/chart6.xml" Type="http://schemas.openxmlformats.org/officeDocument/2006/relationships/chart"/></Relationships>
</file>

<file path=xl/drawings/_rels/drawing4.xml.rels><?xml version="1.0" encoding="UTF-8" standalone="yes"?><Relationships xmlns="http://schemas.openxmlformats.org/package/2006/relationships"><Relationship Id="rId1" Target="../charts/chart7.xml" Type="http://schemas.openxmlformats.org/officeDocument/2006/relationships/chart"/><Relationship Id="rId2" Target="../charts/chart8.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0</xdr:rowOff>
    </xdr:from>
    <xdr:to>
      <xdr:col>9</xdr:col>
      <xdr:colOff>0</xdr:colOff>
      <xdr:row>27</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9</xdr:col>
      <xdr:colOff>0</xdr:colOff>
      <xdr:row>48</xdr:row>
      <xdr:rowOff>0</xdr:rowOff>
    </xdr:to>
    <xdr:graphicFrame macro="">
      <xdr:nvGraphicFramePr>
        <xdr:cNvPr id="3"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27</xdr:row>
      <xdr:rowOff>0</xdr:rowOff>
    </xdr:from>
    <xdr:to>
      <xdr:col>9</xdr:col>
      <xdr:colOff>495300</xdr:colOff>
      <xdr:row>47</xdr:row>
      <xdr:rowOff>0</xdr:rowOff>
    </xdr:to>
    <xdr:graphicFrame macro="">
      <xdr:nvGraphicFramePr>
        <xdr:cNvPr id="3"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xdr:row>
      <xdr:rowOff>0</xdr:rowOff>
    </xdr:from>
    <xdr:to>
      <xdr:col>9</xdr:col>
      <xdr:colOff>495300</xdr:colOff>
      <xdr:row>26</xdr:row>
      <xdr:rowOff>0</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27</xdr:row>
      <xdr:rowOff>0</xdr:rowOff>
    </xdr:from>
    <xdr:to>
      <xdr:col>9</xdr:col>
      <xdr:colOff>495300</xdr:colOff>
      <xdr:row>47</xdr:row>
      <xdr:rowOff>0</xdr:rowOff>
    </xdr:to>
    <xdr:graphicFrame macro="">
      <xdr:nvGraphicFramePr>
        <xdr:cNvPr id="3" name="Diagramm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8</xdr:col>
      <xdr:colOff>514350</xdr:colOff>
      <xdr:row>26</xdr:row>
      <xdr:rowOff>0</xdr:rowOff>
    </xdr:to>
    <xdr:graphicFrame macro="">
      <xdr:nvGraphicFramePr>
        <xdr:cNvPr id="5" name="Diagramm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27</xdr:row>
      <xdr:rowOff>0</xdr:rowOff>
    </xdr:from>
    <xdr:to>
      <xdr:col>8</xdr:col>
      <xdr:colOff>514350</xdr:colOff>
      <xdr:row>47</xdr:row>
      <xdr:rowOff>0</xdr:rowOff>
    </xdr:to>
    <xdr:graphicFrame macro="">
      <xdr:nvGraphicFramePr>
        <xdr:cNvPr id="6" name="Diagramm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5.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7.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9.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1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abSelected="1" workbookViewId="0"/>
  </sheetViews>
  <sheetFormatPr baseColWidth="20" defaultColWidth="21.7109375" defaultRowHeight="15" x14ac:dyDescent="0.25"/>
  <cols>
    <col min="1" max="1" width="13.4765625" customWidth="true" bestFit="true"/>
    <col min="2" max="2" width="52.875" customWidth="true" bestFit="true"/>
    <col min="3" max="3" width="15.1015625" customWidth="true" bestFit="true"/>
    <col min="4" max="4" width="21.18359375" customWidth="true" bestFit="true"/>
    <col min="5" max="5" width="68.67187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5">
        <v>10</v>
      </c>
      <c r="B7" t="s" s="5">
        <v>11</v>
      </c>
      <c r="C7" t="s" s="5">
        <v>12</v>
      </c>
      <c r="D7" t="s" s="5">
        <v>13</v>
      </c>
      <c r="E7" t="s" s="5">
        <v>14</v>
      </c>
    </row>
    <row r="8">
      <c r="A8" t="s" s="6">
        <v>15</v>
      </c>
      <c r="B8" t="n" s="6">
        <v>5.0</v>
      </c>
      <c r="C8" t="n" s="8">
        <v>0.0</v>
      </c>
      <c r="D8" t="n" s="8">
        <v>2.8333333333333335</v>
      </c>
      <c r="E8" t="s" s="6">
        <v>16</v>
      </c>
    </row>
    <row r="9">
      <c r="A9" t="s" s="6">
        <v>17</v>
      </c>
      <c r="B9" t="n" s="6">
        <v>5.0</v>
      </c>
      <c r="C9" t="n" s="8">
        <v>0.0</v>
      </c>
      <c r="D9" t="n" s="8">
        <v>4.2625</v>
      </c>
      <c r="E9" t="s" s="6">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workbookViewId="0"/>
  </sheetViews>
  <sheetFormatPr baseColWidth="20" defaultColWidth="21.7109375" defaultRowHeight="15" x14ac:dyDescent="0.25"/>
  <cols>
    <col min="1" max="1" width="21.01171875" customWidth="true" bestFit="true"/>
    <col min="2" max="2" width="52.875" customWidth="true" bestFit="true"/>
    <col min="3" max="3" width="15.6640625" customWidth="true" bestFit="true"/>
    <col min="4" max="4" width="19.56640625" customWidth="true" bestFit="true"/>
    <col min="5" max="5" width="9.58984375" customWidth="true" bestFit="true"/>
    <col min="6" max="6" width="11.39453125" customWidth="true" bestFit="true"/>
    <col min="7" max="7" width="9.58984375" customWidth="true" bestFit="true"/>
    <col min="8" max="8" width="10.7031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ht="45.0" customHeight="true">
      <c r="A7" t="s" s="2">
        <v>20</v>
      </c>
    </row>
    <row r="10">
      <c r="A10" t="s" s="5">
        <v>10</v>
      </c>
      <c r="B10" t="s" s="5">
        <v>11</v>
      </c>
      <c r="C10" t="s" s="5">
        <v>21</v>
      </c>
      <c r="D10" t="s" s="5">
        <v>22</v>
      </c>
      <c r="E10" t="s" s="5">
        <v>23</v>
      </c>
      <c r="F10" t="s" s="5">
        <v>24</v>
      </c>
    </row>
    <row r="11">
      <c r="A11" t="s" s="6">
        <v>15</v>
      </c>
      <c r="B11" t="n" s="7">
        <v>5.0</v>
      </c>
      <c r="C11" t="n" s="10">
        <v>0.0</v>
      </c>
      <c r="D11" t="n" s="10">
        <v>0.0</v>
      </c>
      <c r="E11" t="n" s="10">
        <v>0.0</v>
      </c>
      <c r="F11" t="n" s="10">
        <v>152200.0</v>
      </c>
    </row>
    <row r="12">
      <c r="A12" t="s" s="6">
        <v>17</v>
      </c>
      <c r="B12" t="n" s="7">
        <v>5.0</v>
      </c>
      <c r="C12" t="n" s="10">
        <v>0.0</v>
      </c>
      <c r="D12" t="n" s="10">
        <v>0.0</v>
      </c>
      <c r="E12" t="n" s="10">
        <v>0.0</v>
      </c>
      <c r="F12" t="n" s="10">
        <v>317285.0</v>
      </c>
    </row>
    <row r="14">
      <c r="A14" t="s" s="2">
        <v>25</v>
      </c>
    </row>
    <row r="16">
      <c r="A16" t="s" s="5">
        <v>26</v>
      </c>
      <c r="B16" t="s" s="5">
        <v>10</v>
      </c>
      <c r="C16" t="s" s="5">
        <v>11</v>
      </c>
      <c r="D16" t="s" s="5">
        <v>27</v>
      </c>
      <c r="E16" t="s" s="5">
        <v>21</v>
      </c>
      <c r="F16" t="s" s="5">
        <v>22</v>
      </c>
      <c r="G16" t="s" s="5">
        <v>23</v>
      </c>
      <c r="H16" t="s" s="5">
        <v>24</v>
      </c>
    </row>
    <row r="17">
      <c r="A17" t="s" s="6">
        <v>28</v>
      </c>
      <c r="B17" t="s" s="6">
        <v>15</v>
      </c>
      <c r="C17" t="n" s="6">
        <v>5.0</v>
      </c>
      <c r="D17" t="n" s="6">
        <v>20.0</v>
      </c>
      <c r="E17" t="n" s="10">
        <v>203.33</v>
      </c>
      <c r="F17" t="n" s="10">
        <v>203.33</v>
      </c>
      <c r="G17" t="n" s="10">
        <v>203.33</v>
      </c>
      <c r="H17" t="n" s="10">
        <v>4066.67</v>
      </c>
    </row>
    <row r="18">
      <c r="A18" s="74"/>
      <c r="B18" t="s" s="12">
        <v>17</v>
      </c>
      <c r="C18" t="n" s="12">
        <v>5.0</v>
      </c>
      <c r="D18" t="n" s="12">
        <v>31.0</v>
      </c>
      <c r="E18" t="n" s="11">
        <v>203.33</v>
      </c>
      <c r="F18" t="n" s="11">
        <v>203.33</v>
      </c>
      <c r="G18" t="n" s="11">
        <v>203.33</v>
      </c>
      <c r="H18" t="n" s="11">
        <v>6303.33</v>
      </c>
    </row>
    <row r="19">
      <c r="A19" t="s" s="6">
        <v>29</v>
      </c>
      <c r="B19" t="s" s="6">
        <v>15</v>
      </c>
      <c r="C19" t="n" s="6">
        <v>5.0</v>
      </c>
      <c r="D19" t="n" s="6">
        <v>20.0</v>
      </c>
      <c r="E19" t="n" s="10">
        <v>101.67</v>
      </c>
      <c r="F19" t="n" s="10">
        <v>101.67</v>
      </c>
      <c r="G19" t="n" s="10">
        <v>101.67</v>
      </c>
      <c r="H19" t="n" s="10">
        <v>2033.33</v>
      </c>
    </row>
    <row r="20">
      <c r="A20" s="74"/>
      <c r="B20" t="s" s="12">
        <v>17</v>
      </c>
      <c r="C20" t="n" s="12">
        <v>5.0</v>
      </c>
      <c r="D20" t="n" s="12">
        <v>31.0</v>
      </c>
      <c r="E20" t="n" s="11">
        <v>101.67</v>
      </c>
      <c r="F20" t="n" s="11">
        <v>101.67</v>
      </c>
      <c r="G20" t="n" s="11">
        <v>101.67</v>
      </c>
      <c r="H20" t="n" s="11">
        <v>3151.67</v>
      </c>
    </row>
    <row r="21">
      <c r="A21" t="s" s="6">
        <v>30</v>
      </c>
      <c r="B21" t="s" s="6">
        <v>15</v>
      </c>
      <c r="C21" t="n" s="6">
        <v>5.0</v>
      </c>
      <c r="D21" t="n" s="6">
        <v>20.0</v>
      </c>
      <c r="E21" t="n" s="10">
        <v>152.5</v>
      </c>
      <c r="F21" t="n" s="10">
        <v>152.5</v>
      </c>
      <c r="G21" t="n" s="10">
        <v>152.5</v>
      </c>
      <c r="H21" t="n" s="10">
        <v>3050.0</v>
      </c>
    </row>
    <row r="22">
      <c r="A22" s="74"/>
      <c r="B22" t="s" s="12">
        <v>17</v>
      </c>
      <c r="C22" t="n" s="12">
        <v>5.0</v>
      </c>
      <c r="D22" t="n" s="12">
        <v>31.0</v>
      </c>
      <c r="E22" t="n" s="11">
        <v>152.5</v>
      </c>
      <c r="F22" t="n" s="11">
        <v>152.5</v>
      </c>
      <c r="G22" t="n" s="11">
        <v>152.5</v>
      </c>
      <c r="H22" t="n" s="11">
        <v>4727.5</v>
      </c>
    </row>
    <row r="23">
      <c r="A23" t="s" s="6">
        <v>31</v>
      </c>
      <c r="B23" t="s" s="6">
        <v>15</v>
      </c>
      <c r="C23" t="n" s="6">
        <v>5.0</v>
      </c>
      <c r="D23" t="n" s="6">
        <v>20.0</v>
      </c>
      <c r="E23" t="n" s="28">
        <v>508.33</v>
      </c>
      <c r="F23" t="n" s="28">
        <v>508.33</v>
      </c>
      <c r="G23" t="n" s="28">
        <v>508.33</v>
      </c>
      <c r="H23" t="n" s="10">
        <v>10166.67</v>
      </c>
    </row>
    <row r="24">
      <c r="A24" s="74"/>
      <c r="B24" t="s" s="12">
        <v>17</v>
      </c>
      <c r="C24" t="n" s="12">
        <v>5.0</v>
      </c>
      <c r="D24" t="n" s="12">
        <v>31.0</v>
      </c>
      <c r="E24" t="n" s="54">
        <v>508.33</v>
      </c>
      <c r="F24" t="n" s="54">
        <v>508.33</v>
      </c>
      <c r="G24" t="n" s="54">
        <v>508.33</v>
      </c>
      <c r="H24" t="n" s="11">
        <v>15758.33</v>
      </c>
    </row>
    <row r="25">
      <c r="A25" t="s" s="6">
        <v>32</v>
      </c>
      <c r="B25" t="s" s="6">
        <v>15</v>
      </c>
      <c r="C25" t="n" s="6">
        <v>5.0</v>
      </c>
      <c r="D25" t="n" s="6">
        <v>20.0</v>
      </c>
      <c r="E25" t="n" s="10">
        <v>50.83</v>
      </c>
      <c r="F25" t="n" s="10">
        <v>50.83</v>
      </c>
      <c r="G25" t="n" s="10">
        <v>50.83</v>
      </c>
      <c r="H25" t="n" s="10">
        <v>1016.67</v>
      </c>
    </row>
    <row r="26">
      <c r="A26" s="74"/>
      <c r="B26" t="s" s="12">
        <v>17</v>
      </c>
      <c r="C26" t="n" s="12">
        <v>5.0</v>
      </c>
      <c r="D26" t="n" s="12">
        <v>31.0</v>
      </c>
      <c r="E26" t="n" s="11">
        <v>50.83</v>
      </c>
      <c r="F26" t="n" s="11">
        <v>50.83</v>
      </c>
      <c r="G26" t="n" s="11">
        <v>50.83</v>
      </c>
      <c r="H26" t="n" s="11">
        <v>1575.83</v>
      </c>
    </row>
    <row r="27">
      <c r="A27" t="s" s="6">
        <v>33</v>
      </c>
      <c r="B27" t="s" s="6">
        <v>15</v>
      </c>
      <c r="C27" t="n" s="6">
        <v>5.0</v>
      </c>
      <c r="D27" t="n" s="6">
        <v>20.0</v>
      </c>
      <c r="E27" t="n" s="10">
        <v>101.67</v>
      </c>
      <c r="F27" t="n" s="10">
        <v>101.67</v>
      </c>
      <c r="G27" t="n" s="10">
        <v>101.67</v>
      </c>
      <c r="H27" t="n" s="10">
        <v>2033.33</v>
      </c>
    </row>
    <row r="28">
      <c r="A28" s="74"/>
      <c r="B28" t="s" s="12">
        <v>17</v>
      </c>
      <c r="C28" t="n" s="12">
        <v>5.0</v>
      </c>
      <c r="D28" t="n" s="12">
        <v>31.0</v>
      </c>
      <c r="E28" t="n" s="11">
        <v>101.67</v>
      </c>
      <c r="F28" t="n" s="11">
        <v>101.67</v>
      </c>
      <c r="G28" t="n" s="11">
        <v>101.67</v>
      </c>
      <c r="H28" t="n" s="11">
        <v>3151.67</v>
      </c>
    </row>
    <row r="29">
      <c r="A29" t="s" s="6">
        <v>34</v>
      </c>
      <c r="B29" t="s" s="6">
        <v>15</v>
      </c>
      <c r="C29" t="n" s="6">
        <v>5.0</v>
      </c>
      <c r="D29" t="n" s="6">
        <v>20.0</v>
      </c>
      <c r="E29" t="n" s="10">
        <v>403.33</v>
      </c>
      <c r="F29" t="n" s="10">
        <v>403.33</v>
      </c>
      <c r="G29" t="n" s="10">
        <v>403.33</v>
      </c>
      <c r="H29" t="n" s="10">
        <v>8066.67</v>
      </c>
    </row>
    <row r="30">
      <c r="A30" s="74"/>
      <c r="B30" t="s" s="12">
        <v>17</v>
      </c>
      <c r="C30" t="n" s="12">
        <v>5.0</v>
      </c>
      <c r="D30" t="n" s="12">
        <v>31.0</v>
      </c>
      <c r="E30" t="n" s="11">
        <v>403.33</v>
      </c>
      <c r="F30" t="n" s="11">
        <v>403.33</v>
      </c>
      <c r="G30" t="n" s="11">
        <v>403.33</v>
      </c>
      <c r="H30" t="n" s="11">
        <v>12503.33</v>
      </c>
    </row>
    <row r="31">
      <c r="A31" t="s" s="6">
        <v>35</v>
      </c>
      <c r="B31" t="s" s="6">
        <v>15</v>
      </c>
      <c r="C31" t="n" s="6">
        <v>5.0</v>
      </c>
      <c r="D31" t="n" s="20">
        <v>74.0</v>
      </c>
      <c r="E31" t="n" s="28">
        <v>505.0</v>
      </c>
      <c r="F31" t="n" s="28">
        <v>505.0</v>
      </c>
      <c r="G31" t="n" s="28">
        <v>505.0</v>
      </c>
      <c r="H31" t="n" s="25">
        <v>37370.0</v>
      </c>
    </row>
    <row r="32">
      <c r="A32" s="74"/>
      <c r="B32" t="s" s="12">
        <v>17</v>
      </c>
      <c r="C32" t="n" s="12">
        <v>5.0</v>
      </c>
      <c r="D32" t="n" s="45">
        <v>145.0</v>
      </c>
      <c r="E32" t="n" s="11">
        <v>505.0</v>
      </c>
      <c r="F32" t="n" s="11">
        <v>505.0</v>
      </c>
      <c r="G32" t="n" s="11">
        <v>505.0</v>
      </c>
      <c r="H32" t="n" s="51">
        <v>73725.0</v>
      </c>
    </row>
    <row r="33">
      <c r="A33" t="s" s="6">
        <v>36</v>
      </c>
      <c r="B33" t="s" s="6">
        <v>15</v>
      </c>
      <c r="C33" t="n" s="6">
        <v>5.0</v>
      </c>
      <c r="D33" t="n" s="22">
        <v>60.0</v>
      </c>
      <c r="E33" t="n" s="10">
        <v>300.83</v>
      </c>
      <c r="F33" t="n" s="10">
        <v>300.83</v>
      </c>
      <c r="G33" t="n" s="10">
        <v>300.83</v>
      </c>
      <c r="H33" t="n" s="10">
        <v>18050.0</v>
      </c>
    </row>
    <row r="34">
      <c r="A34" s="74"/>
      <c r="B34" t="s" s="12">
        <v>17</v>
      </c>
      <c r="C34" t="n" s="12">
        <v>5.0</v>
      </c>
      <c r="D34" t="n" s="12">
        <v>54.0</v>
      </c>
      <c r="E34" t="n" s="11">
        <v>300.83</v>
      </c>
      <c r="F34" t="n" s="11">
        <v>300.83</v>
      </c>
      <c r="G34" t="n" s="11">
        <v>300.83</v>
      </c>
      <c r="H34" t="n" s="11">
        <v>16245.0</v>
      </c>
    </row>
    <row r="35">
      <c r="A35" t="s" s="6">
        <v>37</v>
      </c>
      <c r="B35" t="s" s="6">
        <v>15</v>
      </c>
      <c r="C35" t="n" s="6">
        <v>5.0</v>
      </c>
      <c r="D35" t="n" s="22">
        <v>60.0</v>
      </c>
      <c r="E35" t="n" s="10">
        <v>56.67</v>
      </c>
      <c r="F35" t="n" s="10">
        <v>56.67</v>
      </c>
      <c r="G35" t="n" s="10">
        <v>56.67</v>
      </c>
      <c r="H35" t="n" s="10">
        <v>3400.0</v>
      </c>
    </row>
    <row r="36">
      <c r="A36" s="74"/>
      <c r="B36" t="s" s="12">
        <v>17</v>
      </c>
      <c r="C36" t="n" s="12">
        <v>5.0</v>
      </c>
      <c r="D36" t="n" s="12">
        <v>54.0</v>
      </c>
      <c r="E36" t="n" s="11">
        <v>56.67</v>
      </c>
      <c r="F36" t="n" s="11">
        <v>56.67</v>
      </c>
      <c r="G36" t="n" s="11">
        <v>56.67</v>
      </c>
      <c r="H36" t="n" s="11">
        <v>3060.0</v>
      </c>
    </row>
    <row r="37">
      <c r="A37" t="s" s="6">
        <v>38</v>
      </c>
      <c r="B37" t="s" s="6">
        <v>15</v>
      </c>
      <c r="C37" t="n" s="6">
        <v>5.0</v>
      </c>
      <c r="D37" t="n" s="22">
        <v>60.0</v>
      </c>
      <c r="E37" t="n" s="10">
        <v>400.83</v>
      </c>
      <c r="F37" t="n" s="10">
        <v>400.83</v>
      </c>
      <c r="G37" t="n" s="10">
        <v>400.83</v>
      </c>
      <c r="H37" t="n" s="28">
        <v>24050.0</v>
      </c>
    </row>
    <row r="38">
      <c r="A38" s="74"/>
      <c r="B38" t="s" s="12">
        <v>17</v>
      </c>
      <c r="C38" t="n" s="12">
        <v>5.0</v>
      </c>
      <c r="D38" t="n" s="12">
        <v>54.0</v>
      </c>
      <c r="E38" t="n" s="11">
        <v>400.83</v>
      </c>
      <c r="F38" t="n" s="11">
        <v>400.83</v>
      </c>
      <c r="G38" t="n" s="11">
        <v>400.83</v>
      </c>
      <c r="H38" t="n" s="11">
        <v>21645.0</v>
      </c>
    </row>
    <row r="39">
      <c r="A39" t="s" s="6">
        <v>39</v>
      </c>
      <c r="B39" t="s" s="6">
        <v>15</v>
      </c>
      <c r="C39" t="n" s="6">
        <v>5.0</v>
      </c>
      <c r="D39" t="n" s="22">
        <v>60.0</v>
      </c>
      <c r="E39" t="n" s="10">
        <v>52.5</v>
      </c>
      <c r="F39" t="n" s="10">
        <v>52.5</v>
      </c>
      <c r="G39" t="n" s="10">
        <v>52.5</v>
      </c>
      <c r="H39" t="n" s="10">
        <v>3150.0</v>
      </c>
    </row>
    <row r="40">
      <c r="A40" s="74"/>
      <c r="B40" t="s" s="12">
        <v>17</v>
      </c>
      <c r="C40" t="n" s="12">
        <v>5.0</v>
      </c>
      <c r="D40" t="n" s="12">
        <v>54.0</v>
      </c>
      <c r="E40" t="n" s="11">
        <v>52.5</v>
      </c>
      <c r="F40" t="n" s="11">
        <v>52.5</v>
      </c>
      <c r="G40" t="n" s="11">
        <v>52.5</v>
      </c>
      <c r="H40" t="n" s="11">
        <v>2835.0</v>
      </c>
    </row>
    <row r="41">
      <c r="A41" t="s" s="6">
        <v>40</v>
      </c>
      <c r="B41" t="s" s="6">
        <v>15</v>
      </c>
      <c r="C41" t="n" s="6">
        <v>5.0</v>
      </c>
      <c r="D41" t="n" s="24">
        <v>43.0</v>
      </c>
      <c r="E41" t="n" s="10">
        <v>190.0</v>
      </c>
      <c r="F41" t="n" s="10">
        <v>190.0</v>
      </c>
      <c r="G41" t="n" s="10">
        <v>190.0</v>
      </c>
      <c r="H41" t="n" s="10">
        <v>8320.0</v>
      </c>
    </row>
    <row r="42">
      <c r="A42" s="74"/>
      <c r="B42" t="s" s="12">
        <v>17</v>
      </c>
      <c r="C42" t="n" s="12">
        <v>5.0</v>
      </c>
      <c r="D42" t="n" s="12">
        <v>39.0</v>
      </c>
      <c r="E42" t="n" s="11">
        <v>190.0</v>
      </c>
      <c r="F42" t="n" s="11">
        <v>190.0</v>
      </c>
      <c r="G42" t="n" s="11">
        <v>190.0</v>
      </c>
      <c r="H42" t="n" s="11">
        <v>7560.0</v>
      </c>
    </row>
    <row r="43">
      <c r="A43" t="s" s="6">
        <v>41</v>
      </c>
      <c r="B43" t="s" s="6">
        <v>15</v>
      </c>
      <c r="C43" t="n" s="6">
        <v>5.0</v>
      </c>
      <c r="D43" t="n" s="6">
        <v>0.0</v>
      </c>
      <c r="E43" t="n" s="10">
        <v>0.0</v>
      </c>
      <c r="F43" t="n" s="10">
        <v>0.0</v>
      </c>
      <c r="G43" t="n" s="10">
        <v>0.0</v>
      </c>
      <c r="H43" t="n" s="10">
        <v>0.0</v>
      </c>
    </row>
    <row r="44">
      <c r="A44" s="74"/>
      <c r="B44" t="s" s="12">
        <v>17</v>
      </c>
      <c r="C44" t="n" s="12">
        <v>5.0</v>
      </c>
      <c r="D44" t="n" s="12">
        <v>17.0</v>
      </c>
      <c r="E44" t="n" s="11">
        <v>505.0</v>
      </c>
      <c r="F44" t="n" s="11">
        <v>505.0</v>
      </c>
      <c r="G44" t="n" s="11">
        <v>505.0</v>
      </c>
      <c r="H44" t="n" s="11">
        <v>8585.0</v>
      </c>
    </row>
    <row r="45">
      <c r="A45" t="s" s="6">
        <v>42</v>
      </c>
      <c r="B45" t="s" s="6">
        <v>15</v>
      </c>
      <c r="C45" t="n" s="6">
        <v>5.0</v>
      </c>
      <c r="D45" t="n" s="6">
        <v>0.0</v>
      </c>
      <c r="E45" t="n" s="10">
        <v>0.0</v>
      </c>
      <c r="F45" t="n" s="10">
        <v>0.0</v>
      </c>
      <c r="G45" t="n" s="10">
        <v>0.0</v>
      </c>
      <c r="H45" t="n" s="10">
        <v>0.0</v>
      </c>
    </row>
    <row r="46">
      <c r="A46" s="74"/>
      <c r="B46" t="s" s="12">
        <v>17</v>
      </c>
      <c r="C46" t="n" s="12">
        <v>5.0</v>
      </c>
      <c r="D46" t="n" s="12">
        <v>27.0</v>
      </c>
      <c r="E46" t="n" s="50">
        <v>1015.0</v>
      </c>
      <c r="F46" t="n" s="50">
        <v>1015.0</v>
      </c>
      <c r="G46" t="n" s="50">
        <v>1015.0</v>
      </c>
      <c r="H46" t="n" s="11">
        <v>27405.0</v>
      </c>
    </row>
    <row r="47">
      <c r="A47" t="s" s="6">
        <v>43</v>
      </c>
      <c r="B47" t="s" s="6">
        <v>15</v>
      </c>
      <c r="C47" t="n" s="6">
        <v>5.0</v>
      </c>
      <c r="D47" t="n" s="6">
        <v>0.0</v>
      </c>
      <c r="E47" t="n" s="10">
        <v>0.0</v>
      </c>
      <c r="F47" t="n" s="10">
        <v>0.0</v>
      </c>
      <c r="G47" t="n" s="10">
        <v>0.0</v>
      </c>
      <c r="H47" t="n" s="10">
        <v>0.0</v>
      </c>
    </row>
    <row r="48">
      <c r="A48" s="74"/>
      <c r="B48" t="s" s="12">
        <v>17</v>
      </c>
      <c r="C48" t="n" s="12">
        <v>5.0</v>
      </c>
      <c r="D48" t="n" s="12">
        <v>27.0</v>
      </c>
      <c r="E48" t="n" s="52">
        <v>811.67</v>
      </c>
      <c r="F48" t="n" s="52">
        <v>811.67</v>
      </c>
      <c r="G48" t="n" s="52">
        <v>811.67</v>
      </c>
      <c r="H48" t="n" s="11">
        <v>21915.0</v>
      </c>
    </row>
    <row r="49">
      <c r="A49" t="s" s="6">
        <v>44</v>
      </c>
      <c r="B49" t="s" s="6">
        <v>15</v>
      </c>
      <c r="C49" t="n" s="6">
        <v>5.0</v>
      </c>
      <c r="D49" t="n" s="6">
        <v>0.0</v>
      </c>
      <c r="E49" t="n" s="10">
        <v>0.0</v>
      </c>
      <c r="F49" t="n" s="10">
        <v>0.0</v>
      </c>
      <c r="G49" t="n" s="10">
        <v>0.0</v>
      </c>
      <c r="H49" t="n" s="10">
        <v>0.0</v>
      </c>
    </row>
    <row r="50">
      <c r="A50" s="74"/>
      <c r="B50" t="s" s="12">
        <v>17</v>
      </c>
      <c r="C50" t="n" s="12">
        <v>5.0</v>
      </c>
      <c r="D50" t="n" s="12">
        <v>11.0</v>
      </c>
      <c r="E50" t="n" s="52">
        <v>881.67</v>
      </c>
      <c r="F50" t="n" s="52">
        <v>881.67</v>
      </c>
      <c r="G50" t="n" s="52">
        <v>881.67</v>
      </c>
      <c r="H50" t="n" s="11">
        <v>9698.33</v>
      </c>
    </row>
    <row r="51">
      <c r="A51" t="s" s="6">
        <v>45</v>
      </c>
      <c r="B51" t="s" s="6">
        <v>15</v>
      </c>
      <c r="C51" t="n" s="6">
        <v>5.0</v>
      </c>
      <c r="D51" t="n" s="6">
        <v>34.0</v>
      </c>
      <c r="E51" t="n" s="25">
        <v>806.67</v>
      </c>
      <c r="F51" t="n" s="25">
        <v>806.67</v>
      </c>
      <c r="G51" t="n" s="25">
        <v>806.67</v>
      </c>
      <c r="H51" t="n" s="28">
        <v>27426.67</v>
      </c>
    </row>
    <row r="52">
      <c r="A52" s="74"/>
      <c r="B52" t="s" s="12">
        <v>17</v>
      </c>
      <c r="C52" t="n" s="12">
        <v>5.0</v>
      </c>
      <c r="D52" t="n" s="48">
        <v>96.0</v>
      </c>
      <c r="E52" t="n" s="52">
        <v>806.67</v>
      </c>
      <c r="F52" t="n" s="52">
        <v>806.67</v>
      </c>
      <c r="G52" t="n" s="52">
        <v>806.67</v>
      </c>
      <c r="H52" t="n" s="50">
        <v>77440.0</v>
      </c>
    </row>
    <row r="54">
      <c r="A54" s="71" t="s">
        <v>48</v>
      </c>
      <c r="B54" s="78"/>
    </row>
    <row r="55">
      <c r="A55" s="77" t="s">
        <v>49</v>
      </c>
      <c r="B55" s="79"/>
    </row>
    <row r="56">
      <c r="A56" s="77" t="s">
        <v>50</v>
      </c>
      <c r="B56" s="67" t="s">
        <v>51</v>
      </c>
    </row>
    <row r="57">
      <c r="A57" t="s" s="15">
        <v>52</v>
      </c>
      <c r="B57" s="40" t="s">
        <v>52</v>
      </c>
    </row>
    <row r="58">
      <c r="A58" s="16" t="s">
        <v>53</v>
      </c>
      <c r="B58" s="41" t="s">
        <v>53</v>
      </c>
    </row>
    <row r="59">
      <c r="A59" s="17" t="s">
        <v>54</v>
      </c>
      <c r="B59" s="42" t="s">
        <v>54</v>
      </c>
    </row>
    <row r="60">
      <c r="A60" s="18" t="s">
        <v>55</v>
      </c>
      <c r="B60" s="43" t="s">
        <v>55</v>
      </c>
    </row>
    <row r="61">
      <c r="A61" s="19" t="s">
        <v>56</v>
      </c>
      <c r="B61" s="44" t="s">
        <v>56</v>
      </c>
    </row>
    <row r="62">
      <c r="A62" s="80" t="s">
        <v>57</v>
      </c>
      <c r="B62" s="68" t="s">
        <v>57</v>
      </c>
    </row>
  </sheetData>
  <mergeCells count="21">
    <mergeCell ref="A7:F7"/>
    <mergeCell ref="A14:F14"/>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5:B55"/>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sheetViews>
  <sheetFormatPr baseColWidth="10" defaultRowHeight="15" x14ac:dyDescent="0.25"/>
  <cols>
    <col min="1" max="1" bestFit="true" customWidth="true" width="7.89453125"/>
    <col min="2" max="2" bestFit="true" customWidth="true" width="52.875"/>
  </cols>
  <sheetData>
    <row r="1">
      <c r="A1" t="s" s="71">
        <v>0</v>
      </c>
      <c r="B1" t="s" s="72">
        <v>1</v>
      </c>
    </row>
    <row r="2">
      <c r="A2" t="s" s="69">
        <v>2</v>
      </c>
      <c r="B2" t="s" s="67">
        <v>3</v>
      </c>
    </row>
    <row r="3">
      <c r="A3" t="s" s="69">
        <v>4</v>
      </c>
      <c r="B3" t="s" s="67">
        <v>5</v>
      </c>
    </row>
    <row r="4">
      <c r="A4" t="s" s="69">
        <v>6</v>
      </c>
      <c r="B4" t="s" s="67">
        <v>7</v>
      </c>
    </row>
    <row r="5">
      <c r="A5" t="s" s="70">
        <v>8</v>
      </c>
      <c r="B5" t="s" s="68">
        <v>9</v>
      </c>
    </row>
    <row r="9" spans="13:13" x14ac:dyDescent="0.25">
      <c r="M9" s="1"/>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zoomScaleNormal="100" workbookViewId="0"/>
  </sheetViews>
  <sheetFormatPr baseColWidth="20" defaultColWidth="21.7109375" defaultRowHeight="15" x14ac:dyDescent="0.25"/>
  <cols>
    <col min="7" max="7" bestFit="true" customWidth="true" width="17.26171875" collapsed="true"/>
    <col min="1" max="1" bestFit="true" customWidth="true" width="21.01171875"/>
    <col min="2" max="2" bestFit="true" customWidth="true" width="52.875"/>
    <col min="3" max="3" bestFit="true" customWidth="true" width="15.6640625"/>
    <col min="4" max="4" bestFit="true" customWidth="true" width="19.56640625"/>
    <col min="5" max="5" bestFit="true" customWidth="true" width="16.26171875"/>
    <col min="6" max="6" bestFit="true" customWidth="true" width="15.26171875" collapsed="true"/>
    <col min="8" max="8" bestFit="true" customWidth="true" width="17.26171875"/>
  </cols>
  <sheetData>
    <row r="1">
      <c r="A1" t="s" s="71">
        <v>0</v>
      </c>
      <c r="B1" t="s" s="72">
        <v>1</v>
      </c>
    </row>
    <row r="2">
      <c r="A2" t="s" s="69">
        <v>2</v>
      </c>
      <c r="B2" t="s" s="67">
        <v>3</v>
      </c>
    </row>
    <row r="3">
      <c r="A3" t="s" s="69">
        <v>4</v>
      </c>
      <c r="B3" t="s" s="67">
        <v>5</v>
      </c>
    </row>
    <row r="4">
      <c r="A4" t="s" s="69">
        <v>6</v>
      </c>
      <c r="B4" t="s" s="67">
        <v>7</v>
      </c>
    </row>
    <row r="5">
      <c r="A5" t="s" s="70">
        <v>8</v>
      </c>
      <c r="B5" t="s" s="68">
        <v>9</v>
      </c>
    </row>
    <row r="7" ht="15" customHeight="1" x14ac:dyDescent="0.25"/>
    <row r="8" ht="30.0" customHeight="true">
      <c r="A8" t="s" s="2">
        <v>59</v>
      </c>
    </row>
    <row r="10">
      <c r="A10" t="s" s="5">
        <v>10</v>
      </c>
      <c r="B10" t="s" s="5">
        <v>11</v>
      </c>
      <c r="C10" t="s" s="5">
        <v>21</v>
      </c>
      <c r="D10" t="s" s="5">
        <v>22</v>
      </c>
      <c r="E10" t="s" s="5">
        <v>23</v>
      </c>
      <c r="F10" t="s" s="5">
        <v>12</v>
      </c>
    </row>
    <row r="11">
      <c r="A11" t="s" s="8">
        <v>15</v>
      </c>
      <c r="B11" t="n" s="6">
        <v>5.0</v>
      </c>
      <c r="C11" t="n" s="8">
        <v>0.0</v>
      </c>
      <c r="D11" t="n" s="8">
        <v>0.0</v>
      </c>
      <c r="E11" t="n" s="8">
        <v>0.0</v>
      </c>
      <c r="F11" t="n" s="8">
        <v>0.0</v>
      </c>
    </row>
    <row r="12">
      <c r="A12" t="s" s="14">
        <v>17</v>
      </c>
      <c r="B12" t="n" s="12">
        <v>5.0</v>
      </c>
      <c r="C12" t="n" s="14">
        <v>0.0</v>
      </c>
      <c r="D12" t="n" s="14">
        <v>0.0</v>
      </c>
      <c r="E12" t="n" s="14">
        <v>0.0</v>
      </c>
      <c r="F12" t="n" s="14">
        <v>0.0</v>
      </c>
    </row>
    <row r="14" ht="15" customHeight="1" x14ac:dyDescent="0.25"/>
    <row r="15">
      <c r="A15" t="s" s="4">
        <v>60</v>
      </c>
    </row>
    <row r="16" ht="30.0" customHeight="true">
      <c r="A16" t="s" s="2">
        <v>62</v>
      </c>
    </row>
    <row r="17" ht="15" customHeight="1" x14ac:dyDescent="0.25"/>
    <row r="18" ht="30.0" customHeight="true">
      <c r="A18" t="s" s="5">
        <v>26</v>
      </c>
      <c r="B18" t="s" s="5">
        <v>10</v>
      </c>
      <c r="C18" t="s" s="5">
        <v>11</v>
      </c>
      <c r="D18" t="s" s="5">
        <v>27</v>
      </c>
      <c r="E18" t="s" s="5">
        <v>21</v>
      </c>
      <c r="F18" t="s" s="5">
        <v>22</v>
      </c>
      <c r="G18" t="s" s="5">
        <v>23</v>
      </c>
      <c r="H18" t="s" s="5">
        <v>64</v>
      </c>
    </row>
    <row r="19">
      <c r="A19" t="s" s="6">
        <v>28</v>
      </c>
      <c r="B19" t="s" s="6">
        <v>15</v>
      </c>
      <c r="C19" t="n" s="6">
        <v>5.0</v>
      </c>
      <c r="D19" t="n" s="6">
        <v>20.0</v>
      </c>
      <c r="E19" t="n" s="8">
        <v>0.002777777777777778</v>
      </c>
      <c r="F19" t="n" s="8">
        <v>0.002777777777777778</v>
      </c>
      <c r="G19" t="n" s="8">
        <v>0.002777777777777778</v>
      </c>
      <c r="H19" t="n" s="8">
        <v>0.05555555555555555</v>
      </c>
    </row>
    <row r="20">
      <c r="A20" s="74"/>
      <c r="B20" t="s" s="12">
        <v>17</v>
      </c>
      <c r="C20" t="n" s="12">
        <v>5.0</v>
      </c>
      <c r="D20" t="n" s="12">
        <v>31.0</v>
      </c>
      <c r="E20" t="n" s="14">
        <v>0.002777777777777778</v>
      </c>
      <c r="F20" t="n" s="14">
        <v>0.002777777777777778</v>
      </c>
      <c r="G20" t="n" s="14">
        <v>0.002777777777777778</v>
      </c>
      <c r="H20" t="n" s="14">
        <v>0.08611111111111111</v>
      </c>
    </row>
    <row r="21">
      <c r="A21" t="s" s="6">
        <v>29</v>
      </c>
      <c r="B21" t="s" s="6">
        <v>15</v>
      </c>
      <c r="C21" t="n" s="6">
        <v>5.0</v>
      </c>
      <c r="D21" t="n" s="6">
        <v>20.0</v>
      </c>
      <c r="E21" t="n" s="8">
        <v>0.001388888888888889</v>
      </c>
      <c r="F21" t="n" s="8">
        <v>0.001388888888888889</v>
      </c>
      <c r="G21" t="n" s="8">
        <v>0.001388888888888889</v>
      </c>
      <c r="H21" t="n" s="8">
        <v>0.027777777777777776</v>
      </c>
    </row>
    <row r="22">
      <c r="A22" s="74"/>
      <c r="B22" t="s" s="12">
        <v>17</v>
      </c>
      <c r="C22" t="n" s="12">
        <v>5.0</v>
      </c>
      <c r="D22" t="n" s="12">
        <v>31.0</v>
      </c>
      <c r="E22" t="n" s="14">
        <v>0.001388888888888889</v>
      </c>
      <c r="F22" t="n" s="14">
        <v>0.001388888888888889</v>
      </c>
      <c r="G22" t="n" s="14">
        <v>0.001388888888888889</v>
      </c>
      <c r="H22" t="n" s="14">
        <v>0.043055555555555555</v>
      </c>
    </row>
    <row r="23">
      <c r="A23" t="s" s="6">
        <v>30</v>
      </c>
      <c r="B23" t="s" s="6">
        <v>15</v>
      </c>
      <c r="C23" t="n" s="6">
        <v>5.0</v>
      </c>
      <c r="D23" t="n" s="6">
        <v>20.0</v>
      </c>
      <c r="E23" t="n" s="8">
        <v>0.0020833333333333333</v>
      </c>
      <c r="F23" t="n" s="8">
        <v>0.0020833333333333333</v>
      </c>
      <c r="G23" t="n" s="8">
        <v>0.0020833333333333333</v>
      </c>
      <c r="H23" t="n" s="8">
        <v>0.041666666666666664</v>
      </c>
    </row>
    <row r="24">
      <c r="A24" s="74"/>
      <c r="B24" t="s" s="12">
        <v>17</v>
      </c>
      <c r="C24" t="n" s="12">
        <v>5.0</v>
      </c>
      <c r="D24" t="n" s="12">
        <v>31.0</v>
      </c>
      <c r="E24" t="n" s="14">
        <v>0.0020833333333333333</v>
      </c>
      <c r="F24" t="n" s="14">
        <v>0.0020833333333333333</v>
      </c>
      <c r="G24" t="n" s="14">
        <v>0.0020833333333333333</v>
      </c>
      <c r="H24" t="n" s="14">
        <v>0.06458333333333334</v>
      </c>
    </row>
    <row r="25">
      <c r="A25" t="s" s="6">
        <v>31</v>
      </c>
      <c r="B25" t="s" s="6">
        <v>15</v>
      </c>
      <c r="C25" t="n" s="6">
        <v>5.0</v>
      </c>
      <c r="D25" t="n" s="6">
        <v>20.0</v>
      </c>
      <c r="E25" t="n" s="8">
        <v>0.006944444444444444</v>
      </c>
      <c r="F25" t="n" s="8">
        <v>0.006944444444444444</v>
      </c>
      <c r="G25" t="n" s="8">
        <v>0.006944444444444444</v>
      </c>
      <c r="H25" t="n" s="8">
        <v>0.1388888888888889</v>
      </c>
    </row>
    <row r="26">
      <c r="A26" s="74"/>
      <c r="B26" t="s" s="12">
        <v>17</v>
      </c>
      <c r="C26" t="n" s="12">
        <v>5.0</v>
      </c>
      <c r="D26" t="n" s="12">
        <v>31.0</v>
      </c>
      <c r="E26" t="n" s="14">
        <v>0.006944444444444444</v>
      </c>
      <c r="F26" t="n" s="14">
        <v>0.006944444444444444</v>
      </c>
      <c r="G26" t="n" s="14">
        <v>0.006944444444444444</v>
      </c>
      <c r="H26" t="n" s="14">
        <v>0.2152777777777778</v>
      </c>
    </row>
    <row r="27">
      <c r="A27" t="s" s="6">
        <v>32</v>
      </c>
      <c r="B27" t="s" s="6">
        <v>15</v>
      </c>
      <c r="C27" t="n" s="6">
        <v>5.0</v>
      </c>
      <c r="D27" t="n" s="6">
        <v>20.0</v>
      </c>
      <c r="E27" t="n" s="8">
        <v>6.944444444444445E-4</v>
      </c>
      <c r="F27" t="n" s="8">
        <v>6.944444444444445E-4</v>
      </c>
      <c r="G27" t="n" s="8">
        <v>6.944444444444445E-4</v>
      </c>
      <c r="H27" t="n" s="8">
        <v>0.013888888888888888</v>
      </c>
    </row>
    <row r="28">
      <c r="A28" s="74"/>
      <c r="B28" t="s" s="12">
        <v>17</v>
      </c>
      <c r="C28" t="n" s="12">
        <v>5.0</v>
      </c>
      <c r="D28" t="n" s="12">
        <v>31.0</v>
      </c>
      <c r="E28" t="n" s="14">
        <v>6.944444444444445E-4</v>
      </c>
      <c r="F28" t="n" s="14">
        <v>6.944444444444445E-4</v>
      </c>
      <c r="G28" t="n" s="14">
        <v>6.944444444444445E-4</v>
      </c>
      <c r="H28" t="n" s="14">
        <v>0.021527777777777778</v>
      </c>
    </row>
    <row r="29">
      <c r="A29" t="s" s="6">
        <v>33</v>
      </c>
      <c r="B29" t="s" s="6">
        <v>15</v>
      </c>
      <c r="C29" t="n" s="6">
        <v>5.0</v>
      </c>
      <c r="D29" t="n" s="6">
        <v>20.0</v>
      </c>
      <c r="E29" t="n" s="8">
        <v>0.001388888888888889</v>
      </c>
      <c r="F29" t="n" s="8">
        <v>0.001388888888888889</v>
      </c>
      <c r="G29" t="n" s="8">
        <v>0.001388888888888889</v>
      </c>
      <c r="H29" t="n" s="8">
        <v>0.027777777777777776</v>
      </c>
    </row>
    <row r="30">
      <c r="A30" s="74"/>
      <c r="B30" t="s" s="12">
        <v>17</v>
      </c>
      <c r="C30" t="n" s="12">
        <v>5.0</v>
      </c>
      <c r="D30" t="n" s="12">
        <v>31.0</v>
      </c>
      <c r="E30" t="n" s="14">
        <v>0.001388888888888889</v>
      </c>
      <c r="F30" t="n" s="14">
        <v>0.001388888888888889</v>
      </c>
      <c r="G30" t="n" s="14">
        <v>0.001388888888888889</v>
      </c>
      <c r="H30" t="n" s="14">
        <v>0.043055555555555555</v>
      </c>
    </row>
    <row r="31">
      <c r="A31" t="s" s="6">
        <v>34</v>
      </c>
      <c r="B31" t="s" s="6">
        <v>15</v>
      </c>
      <c r="C31" t="n" s="6">
        <v>5.0</v>
      </c>
      <c r="D31" t="n" s="6">
        <v>20.0</v>
      </c>
      <c r="E31" t="n" s="8">
        <v>0.002777777777777778</v>
      </c>
      <c r="F31" t="n" s="8">
        <v>0.002777777777777778</v>
      </c>
      <c r="G31" t="n" s="8">
        <v>0.002777777777777778</v>
      </c>
      <c r="H31" t="n" s="8">
        <v>0.05555555555555555</v>
      </c>
    </row>
    <row r="32">
      <c r="A32" s="74"/>
      <c r="B32" t="s" s="12">
        <v>17</v>
      </c>
      <c r="C32" t="n" s="12">
        <v>5.0</v>
      </c>
      <c r="D32" t="n" s="12">
        <v>31.0</v>
      </c>
      <c r="E32" t="n" s="14">
        <v>0.002777777777777778</v>
      </c>
      <c r="F32" t="n" s="14">
        <v>0.002777777777777778</v>
      </c>
      <c r="G32" t="n" s="14">
        <v>0.002777777777777778</v>
      </c>
      <c r="H32" t="n" s="14">
        <v>0.08611111111111111</v>
      </c>
    </row>
    <row r="33">
      <c r="A33" t="s" s="6">
        <v>35</v>
      </c>
      <c r="B33" t="s" s="6">
        <v>15</v>
      </c>
      <c r="C33" t="n" s="6">
        <v>5.0</v>
      </c>
      <c r="D33" t="n" s="20">
        <v>74.0</v>
      </c>
      <c r="E33" t="n" s="8">
        <v>0.004166666666666667</v>
      </c>
      <c r="F33" t="n" s="8">
        <v>0.004166666666666667</v>
      </c>
      <c r="G33" t="n" s="8">
        <v>0.004166666666666667</v>
      </c>
      <c r="H33" t="n" s="8">
        <v>0.30833333333333335</v>
      </c>
    </row>
    <row r="34">
      <c r="A34" s="74"/>
      <c r="B34" t="s" s="12">
        <v>17</v>
      </c>
      <c r="C34" t="n" s="12">
        <v>5.0</v>
      </c>
      <c r="D34" t="n" s="45">
        <v>145.0</v>
      </c>
      <c r="E34" t="n" s="14">
        <v>0.013356481481481481</v>
      </c>
      <c r="F34" t="n" s="14">
        <v>0.004166666666666667</v>
      </c>
      <c r="G34" t="n" s="61">
        <v>0.6708333333333333</v>
      </c>
      <c r="H34" t="n" s="64">
        <v>1.9520833333333334</v>
      </c>
    </row>
    <row r="35">
      <c r="A35" t="s" s="6">
        <v>36</v>
      </c>
      <c r="B35" t="s" s="6">
        <v>15</v>
      </c>
      <c r="C35" t="n" s="6">
        <v>5.0</v>
      </c>
      <c r="D35" t="n" s="22">
        <v>60.0</v>
      </c>
      <c r="E35" t="n" s="8">
        <v>6.944444444444445E-4</v>
      </c>
      <c r="F35" t="n" s="8">
        <v>6.944444444444445E-4</v>
      </c>
      <c r="G35" t="n" s="8">
        <v>6.944444444444445E-4</v>
      </c>
      <c r="H35" t="n" s="8">
        <v>0.041666666666666664</v>
      </c>
    </row>
    <row r="36">
      <c r="A36" s="74"/>
      <c r="B36" t="s" s="12">
        <v>17</v>
      </c>
      <c r="C36" t="n" s="12">
        <v>5.0</v>
      </c>
      <c r="D36" t="n" s="12">
        <v>54.0</v>
      </c>
      <c r="E36" t="n" s="14">
        <v>6.944444444444445E-4</v>
      </c>
      <c r="F36" t="n" s="14">
        <v>6.944444444444445E-4</v>
      </c>
      <c r="G36" t="n" s="14">
        <v>6.944444444444445E-4</v>
      </c>
      <c r="H36" t="n" s="14">
        <v>0.0375</v>
      </c>
    </row>
    <row r="37">
      <c r="A37" t="s" s="6">
        <v>37</v>
      </c>
      <c r="B37" t="s" s="6">
        <v>15</v>
      </c>
      <c r="C37" t="n" s="6">
        <v>5.0</v>
      </c>
      <c r="D37" t="n" s="22">
        <v>60.0</v>
      </c>
      <c r="E37" t="n" s="8">
        <v>0.016666666666666666</v>
      </c>
      <c r="F37" t="n" s="8">
        <v>0.005555555555555556</v>
      </c>
      <c r="G37" t="n" s="36">
        <v>0.6722222222222223</v>
      </c>
      <c r="H37" t="n" s="8">
        <v>1.0</v>
      </c>
    </row>
    <row r="38">
      <c r="A38" s="74"/>
      <c r="B38" t="s" s="12">
        <v>17</v>
      </c>
      <c r="C38" t="n" s="12">
        <v>5.0</v>
      </c>
      <c r="D38" t="n" s="12">
        <v>54.0</v>
      </c>
      <c r="E38" t="n" s="14">
        <v>0.017893518518518517</v>
      </c>
      <c r="F38" t="n" s="14">
        <v>0.005555555555555556</v>
      </c>
      <c r="G38" t="n" s="61">
        <v>0.6722222222222223</v>
      </c>
      <c r="H38" t="n" s="14">
        <v>0.9666666666666667</v>
      </c>
    </row>
    <row r="39">
      <c r="A39" t="s" s="6">
        <v>38</v>
      </c>
      <c r="B39" t="s" s="6">
        <v>15</v>
      </c>
      <c r="C39" t="n" s="6">
        <v>5.0</v>
      </c>
      <c r="D39" t="n" s="22">
        <v>60.0</v>
      </c>
      <c r="E39" t="n" s="8">
        <v>6.944444444444445E-4</v>
      </c>
      <c r="F39" t="n" s="8">
        <v>6.944444444444445E-4</v>
      </c>
      <c r="G39" t="n" s="8">
        <v>6.944444444444445E-4</v>
      </c>
      <c r="H39" t="n" s="8">
        <v>0.041666666666666664</v>
      </c>
    </row>
    <row r="40">
      <c r="A40" s="74"/>
      <c r="B40" t="s" s="12">
        <v>17</v>
      </c>
      <c r="C40" t="n" s="12">
        <v>5.0</v>
      </c>
      <c r="D40" t="n" s="12">
        <v>54.0</v>
      </c>
      <c r="E40" t="n" s="14">
        <v>6.944444444444445E-4</v>
      </c>
      <c r="F40" t="n" s="14">
        <v>6.944444444444445E-4</v>
      </c>
      <c r="G40" t="n" s="14">
        <v>6.944444444444445E-4</v>
      </c>
      <c r="H40" t="n" s="14">
        <v>0.0375</v>
      </c>
    </row>
    <row r="41">
      <c r="A41" t="s" s="6">
        <v>39</v>
      </c>
      <c r="B41" t="s" s="6">
        <v>15</v>
      </c>
      <c r="C41" t="n" s="6">
        <v>5.0</v>
      </c>
      <c r="D41" t="n" s="22">
        <v>60.0</v>
      </c>
      <c r="E41" t="n" s="8">
        <v>0.0020833333333333333</v>
      </c>
      <c r="F41" t="n" s="8">
        <v>0.0020833333333333333</v>
      </c>
      <c r="G41" t="n" s="8">
        <v>0.0020833333333333333</v>
      </c>
      <c r="H41" t="n" s="8">
        <v>0.125</v>
      </c>
    </row>
    <row r="42">
      <c r="A42" s="74"/>
      <c r="B42" t="s" s="12">
        <v>17</v>
      </c>
      <c r="C42" t="n" s="12">
        <v>5.0</v>
      </c>
      <c r="D42" t="n" s="12">
        <v>54.0</v>
      </c>
      <c r="E42" t="n" s="14">
        <v>0.0020833333333333333</v>
      </c>
      <c r="F42" t="n" s="14">
        <v>0.0020833333333333333</v>
      </c>
      <c r="G42" t="n" s="14">
        <v>0.0020833333333333333</v>
      </c>
      <c r="H42" t="n" s="14">
        <v>0.1125</v>
      </c>
    </row>
    <row r="43">
      <c r="A43" t="s" s="6">
        <v>40</v>
      </c>
      <c r="B43" t="s" s="6">
        <v>15</v>
      </c>
      <c r="C43" t="n" s="6">
        <v>5.0</v>
      </c>
      <c r="D43" t="n" s="24">
        <v>43.0</v>
      </c>
      <c r="E43" t="n" s="35">
        <v>0.09534722222222222</v>
      </c>
      <c r="F43" t="n" s="35">
        <v>0.03333333333333333</v>
      </c>
      <c r="G43" t="n" s="35">
        <v>0.7</v>
      </c>
      <c r="H43" t="n" s="35">
        <v>4.133333333333334</v>
      </c>
    </row>
    <row r="44">
      <c r="A44" s="74"/>
      <c r="B44" t="s" s="12">
        <v>17</v>
      </c>
      <c r="C44" t="n" s="12">
        <v>5.0</v>
      </c>
      <c r="D44" t="n" s="12">
        <v>39.0</v>
      </c>
      <c r="E44" t="n" s="60">
        <v>0.08460648148148148</v>
      </c>
      <c r="F44" t="n" s="60">
        <v>0.03333333333333333</v>
      </c>
      <c r="G44" t="n" s="60">
        <v>0.7</v>
      </c>
      <c r="H44" t="n" s="60">
        <v>3.3333333333333335</v>
      </c>
    </row>
    <row r="45">
      <c r="A45" t="s" s="6">
        <v>41</v>
      </c>
      <c r="B45" t="s" s="6">
        <v>15</v>
      </c>
      <c r="C45" t="n" s="6">
        <v>5.0</v>
      </c>
      <c r="D45" t="n" s="6">
        <v>0.0</v>
      </c>
      <c r="E45" t="n" s="8">
        <v>0.0</v>
      </c>
      <c r="F45" t="n" s="8">
        <v>0.0</v>
      </c>
      <c r="G45" t="n" s="8">
        <v>0.0</v>
      </c>
      <c r="H45" t="n" s="8">
        <v>0.0</v>
      </c>
    </row>
    <row r="46">
      <c r="A46" s="74"/>
      <c r="B46" t="s" s="12">
        <v>17</v>
      </c>
      <c r="C46" t="n" s="12">
        <v>5.0</v>
      </c>
      <c r="D46" t="n" s="12">
        <v>17.0</v>
      </c>
      <c r="E46" t="n" s="14">
        <v>0.004166666666666667</v>
      </c>
      <c r="F46" t="n" s="14">
        <v>0.004166666666666667</v>
      </c>
      <c r="G46" t="n" s="14">
        <v>0.004166666666666667</v>
      </c>
      <c r="H46" t="n" s="14">
        <v>0.07083333333333333</v>
      </c>
    </row>
    <row r="47">
      <c r="A47" t="s" s="6">
        <v>42</v>
      </c>
      <c r="B47" t="s" s="6">
        <v>15</v>
      </c>
      <c r="C47" t="n" s="6">
        <v>5.0</v>
      </c>
      <c r="D47" t="n" s="6">
        <v>0.0</v>
      </c>
      <c r="E47" t="n" s="8">
        <v>0.0</v>
      </c>
      <c r="F47" t="n" s="8">
        <v>0.0</v>
      </c>
      <c r="G47" t="n" s="8">
        <v>0.0</v>
      </c>
      <c r="H47" t="n" s="8">
        <v>0.0</v>
      </c>
    </row>
    <row r="48">
      <c r="A48" s="74"/>
      <c r="B48" t="s" s="12">
        <v>17</v>
      </c>
      <c r="C48" t="n" s="12">
        <v>5.0</v>
      </c>
      <c r="D48" t="n" s="12">
        <v>27.0</v>
      </c>
      <c r="E48" t="n" s="63">
        <v>0.061875</v>
      </c>
      <c r="F48" t="n" s="14">
        <v>0.0125</v>
      </c>
      <c r="G48" t="n" s="61">
        <v>0.6791666666666667</v>
      </c>
      <c r="H48" t="n" s="64">
        <v>1.6708333333333334</v>
      </c>
    </row>
    <row r="49">
      <c r="A49" t="s" s="6">
        <v>43</v>
      </c>
      <c r="B49" t="s" s="6">
        <v>15</v>
      </c>
      <c r="C49" t="n" s="6">
        <v>5.0</v>
      </c>
      <c r="D49" t="n" s="6">
        <v>0.0</v>
      </c>
      <c r="E49" t="n" s="8">
        <v>0.0</v>
      </c>
      <c r="F49" t="n" s="8">
        <v>0.0</v>
      </c>
      <c r="G49" t="n" s="8">
        <v>0.0</v>
      </c>
      <c r="H49" t="n" s="8">
        <v>0.0</v>
      </c>
    </row>
    <row r="50">
      <c r="A50" s="74"/>
      <c r="B50" t="s" s="12">
        <v>17</v>
      </c>
      <c r="C50" t="n" s="12">
        <v>5.0</v>
      </c>
      <c r="D50" t="n" s="12">
        <v>27.0</v>
      </c>
      <c r="E50" t="n" s="14">
        <v>0.009722222222222222</v>
      </c>
      <c r="F50" t="n" s="14">
        <v>0.009722222222222222</v>
      </c>
      <c r="G50" t="n" s="14">
        <v>0.009722222222222222</v>
      </c>
      <c r="H50" t="n" s="14">
        <v>0.2625</v>
      </c>
    </row>
    <row r="51">
      <c r="A51" t="s" s="6">
        <v>44</v>
      </c>
      <c r="B51" t="s" s="6">
        <v>15</v>
      </c>
      <c r="C51" t="n" s="6">
        <v>5.0</v>
      </c>
      <c r="D51" t="n" s="6">
        <v>0.0</v>
      </c>
      <c r="E51" t="n" s="8">
        <v>0.0</v>
      </c>
      <c r="F51" t="n" s="8">
        <v>0.0</v>
      </c>
      <c r="G51" t="n" s="8">
        <v>0.0</v>
      </c>
      <c r="H51" t="n" s="8">
        <v>0.0</v>
      </c>
    </row>
    <row r="52">
      <c r="A52" s="74"/>
      <c r="B52" t="s" s="12">
        <v>17</v>
      </c>
      <c r="C52" t="n" s="12">
        <v>5.0</v>
      </c>
      <c r="D52" t="n" s="12">
        <v>11.0</v>
      </c>
      <c r="E52" t="n" s="14">
        <v>0.009722222222222222</v>
      </c>
      <c r="F52" t="n" s="14">
        <v>0.009722222222222222</v>
      </c>
      <c r="G52" t="n" s="14">
        <v>0.009722222222222222</v>
      </c>
      <c r="H52" t="n" s="14">
        <v>0.10694444444444444</v>
      </c>
    </row>
    <row r="53">
      <c r="A53" t="s" s="6">
        <v>45</v>
      </c>
      <c r="B53" t="s" s="6">
        <v>15</v>
      </c>
      <c r="C53" t="n" s="6">
        <v>5.0</v>
      </c>
      <c r="D53" t="n" s="6">
        <v>34.0</v>
      </c>
      <c r="E53" t="n" s="8">
        <v>0.005555555555555556</v>
      </c>
      <c r="F53" t="n" s="8">
        <v>0.005555555555555556</v>
      </c>
      <c r="G53" t="n" s="8">
        <v>0.005555555555555556</v>
      </c>
      <c r="H53" t="n" s="8">
        <v>0.18888888888888888</v>
      </c>
    </row>
    <row r="54">
      <c r="A54" s="74"/>
      <c r="B54" t="s" s="12">
        <v>17</v>
      </c>
      <c r="C54" t="n" s="12">
        <v>5.0</v>
      </c>
      <c r="D54" t="n" s="48">
        <v>96.0</v>
      </c>
      <c r="E54" t="n" s="14">
        <v>0.0125</v>
      </c>
      <c r="F54" t="n" s="14">
        <v>0.005555555555555556</v>
      </c>
      <c r="G54" t="n" s="61">
        <v>0.6722222222222223</v>
      </c>
      <c r="H54" t="n" s="14">
        <v>1.2</v>
      </c>
    </row>
    <row r="58">
      <c r="A58" t="s" s="4">
        <v>65</v>
      </c>
    </row>
    <row r="59" ht="60.0" customHeight="true">
      <c r="A59" t="s" s="2">
        <v>67</v>
      </c>
    </row>
    <row r="61" ht="30.0" customHeight="true">
      <c r="A61" t="s" s="5">
        <v>26</v>
      </c>
      <c r="B61" t="s" s="5">
        <v>10</v>
      </c>
      <c r="C61" t="s" s="5">
        <v>11</v>
      </c>
      <c r="D61" t="s" s="5">
        <v>27</v>
      </c>
      <c r="E61" t="s" s="5">
        <v>21</v>
      </c>
      <c r="F61" t="s" s="5">
        <v>22</v>
      </c>
      <c r="G61" t="s" s="5">
        <v>23</v>
      </c>
      <c r="H61" t="s" s="5">
        <v>64</v>
      </c>
    </row>
    <row r="62">
      <c r="A62" t="s" s="6">
        <v>28</v>
      </c>
      <c r="B62" t="s" s="6">
        <v>15</v>
      </c>
      <c r="C62" t="n" s="6">
        <v>5.0</v>
      </c>
      <c r="D62" t="n" s="6">
        <v>20.0</v>
      </c>
      <c r="E62" t="n" s="8">
        <v>0.002777777777777778</v>
      </c>
      <c r="F62" t="n" s="8">
        <v>0.002777777777777778</v>
      </c>
      <c r="G62" t="n" s="8">
        <v>0.002777777777777778</v>
      </c>
      <c r="H62" t="n" s="8">
        <v>0.05555555555555555</v>
      </c>
    </row>
    <row r="63">
      <c r="A63" s="74"/>
      <c r="B63" t="s" s="12">
        <v>17</v>
      </c>
      <c r="C63" t="n" s="12">
        <v>5.0</v>
      </c>
      <c r="D63" t="n" s="12">
        <v>31.0</v>
      </c>
      <c r="E63" t="n" s="14">
        <v>0.002777777777777778</v>
      </c>
      <c r="F63" t="n" s="14">
        <v>0.002777777777777778</v>
      </c>
      <c r="G63" t="n" s="14">
        <v>0.002777777777777778</v>
      </c>
      <c r="H63" t="n" s="14">
        <v>0.08611111111111111</v>
      </c>
    </row>
    <row r="64">
      <c r="A64" t="s" s="6">
        <v>29</v>
      </c>
      <c r="B64" t="s" s="6">
        <v>15</v>
      </c>
      <c r="C64" t="n" s="6">
        <v>5.0</v>
      </c>
      <c r="D64" t="n" s="6">
        <v>20.0</v>
      </c>
      <c r="E64" t="n" s="8">
        <v>0.001388888888888889</v>
      </c>
      <c r="F64" t="n" s="8">
        <v>0.001388888888888889</v>
      </c>
      <c r="G64" t="n" s="8">
        <v>0.001388888888888889</v>
      </c>
      <c r="H64" t="n" s="8">
        <v>0.027777777777777776</v>
      </c>
    </row>
    <row r="65">
      <c r="A65" s="74"/>
      <c r="B65" t="s" s="12">
        <v>17</v>
      </c>
      <c r="C65" t="n" s="12">
        <v>5.0</v>
      </c>
      <c r="D65" t="n" s="12">
        <v>31.0</v>
      </c>
      <c r="E65" t="n" s="14">
        <v>0.001388888888888889</v>
      </c>
      <c r="F65" t="n" s="14">
        <v>0.001388888888888889</v>
      </c>
      <c r="G65" t="n" s="14">
        <v>0.001388888888888889</v>
      </c>
      <c r="H65" t="n" s="14">
        <v>0.043055555555555555</v>
      </c>
    </row>
    <row r="66">
      <c r="A66" t="s" s="6">
        <v>30</v>
      </c>
      <c r="B66" t="s" s="6">
        <v>15</v>
      </c>
      <c r="C66" t="n" s="6">
        <v>5.0</v>
      </c>
      <c r="D66" t="n" s="6">
        <v>20.0</v>
      </c>
      <c r="E66" t="n" s="8">
        <v>0.0020833333333333333</v>
      </c>
      <c r="F66" t="n" s="8">
        <v>0.0020833333333333333</v>
      </c>
      <c r="G66" t="n" s="8">
        <v>0.0020833333333333333</v>
      </c>
      <c r="H66" t="n" s="8">
        <v>0.041666666666666664</v>
      </c>
    </row>
    <row r="67">
      <c r="A67" s="74"/>
      <c r="B67" t="s" s="12">
        <v>17</v>
      </c>
      <c r="C67" t="n" s="12">
        <v>5.0</v>
      </c>
      <c r="D67" t="n" s="12">
        <v>31.0</v>
      </c>
      <c r="E67" t="n" s="14">
        <v>0.0020833333333333333</v>
      </c>
      <c r="F67" t="n" s="14">
        <v>0.0020833333333333333</v>
      </c>
      <c r="G67" t="n" s="14">
        <v>0.0020833333333333333</v>
      </c>
      <c r="H67" t="n" s="14">
        <v>0.06458333333333334</v>
      </c>
    </row>
    <row r="68">
      <c r="A68" t="s" s="6">
        <v>31</v>
      </c>
      <c r="B68" t="s" s="6">
        <v>15</v>
      </c>
      <c r="C68" t="n" s="6">
        <v>5.0</v>
      </c>
      <c r="D68" t="n" s="6">
        <v>20.0</v>
      </c>
      <c r="E68" t="n" s="8">
        <v>0.006944444444444444</v>
      </c>
      <c r="F68" t="n" s="8">
        <v>0.006944444444444444</v>
      </c>
      <c r="G68" t="n" s="8">
        <v>0.006944444444444444</v>
      </c>
      <c r="H68" t="n" s="8">
        <v>0.1388888888888889</v>
      </c>
    </row>
    <row r="69">
      <c r="A69" s="74"/>
      <c r="B69" t="s" s="12">
        <v>17</v>
      </c>
      <c r="C69" t="n" s="12">
        <v>5.0</v>
      </c>
      <c r="D69" t="n" s="12">
        <v>31.0</v>
      </c>
      <c r="E69" t="n" s="14">
        <v>0.006944444444444444</v>
      </c>
      <c r="F69" t="n" s="14">
        <v>0.006944444444444444</v>
      </c>
      <c r="G69" t="n" s="14">
        <v>0.006944444444444444</v>
      </c>
      <c r="H69" t="n" s="14">
        <v>0.2152777777777778</v>
      </c>
    </row>
    <row r="70">
      <c r="A70" t="s" s="6">
        <v>32</v>
      </c>
      <c r="B70" t="s" s="6">
        <v>15</v>
      </c>
      <c r="C70" t="n" s="6">
        <v>5.0</v>
      </c>
      <c r="D70" t="n" s="6">
        <v>20.0</v>
      </c>
      <c r="E70" t="n" s="8">
        <v>6.944444444444445E-4</v>
      </c>
      <c r="F70" t="n" s="8">
        <v>6.944444444444445E-4</v>
      </c>
      <c r="G70" t="n" s="8">
        <v>6.944444444444445E-4</v>
      </c>
      <c r="H70" t="n" s="8">
        <v>0.013888888888888888</v>
      </c>
    </row>
    <row r="71">
      <c r="A71" s="74"/>
      <c r="B71" t="s" s="12">
        <v>17</v>
      </c>
      <c r="C71" t="n" s="12">
        <v>5.0</v>
      </c>
      <c r="D71" t="n" s="12">
        <v>31.0</v>
      </c>
      <c r="E71" t="n" s="14">
        <v>6.944444444444445E-4</v>
      </c>
      <c r="F71" t="n" s="14">
        <v>6.944444444444445E-4</v>
      </c>
      <c r="G71" t="n" s="14">
        <v>6.944444444444445E-4</v>
      </c>
      <c r="H71" t="n" s="14">
        <v>0.021527777777777778</v>
      </c>
    </row>
    <row r="72">
      <c r="A72" t="s" s="6">
        <v>33</v>
      </c>
      <c r="B72" t="s" s="6">
        <v>15</v>
      </c>
      <c r="C72" t="n" s="6">
        <v>5.0</v>
      </c>
      <c r="D72" t="n" s="6">
        <v>20.0</v>
      </c>
      <c r="E72" t="n" s="8">
        <v>0.001388888888888889</v>
      </c>
      <c r="F72" t="n" s="8">
        <v>0.001388888888888889</v>
      </c>
      <c r="G72" t="n" s="8">
        <v>0.001388888888888889</v>
      </c>
      <c r="H72" t="n" s="8">
        <v>0.027777777777777776</v>
      </c>
    </row>
    <row r="73">
      <c r="A73" s="74"/>
      <c r="B73" t="s" s="12">
        <v>17</v>
      </c>
      <c r="C73" t="n" s="12">
        <v>5.0</v>
      </c>
      <c r="D73" t="n" s="12">
        <v>31.0</v>
      </c>
      <c r="E73" t="n" s="14">
        <v>0.001388888888888889</v>
      </c>
      <c r="F73" t="n" s="14">
        <v>0.001388888888888889</v>
      </c>
      <c r="G73" t="n" s="14">
        <v>0.001388888888888889</v>
      </c>
      <c r="H73" t="n" s="14">
        <v>0.043055555555555555</v>
      </c>
    </row>
    <row r="74">
      <c r="A74" t="s" s="6">
        <v>34</v>
      </c>
      <c r="B74" t="s" s="6">
        <v>15</v>
      </c>
      <c r="C74" t="n" s="6">
        <v>5.0</v>
      </c>
      <c r="D74" t="n" s="6">
        <v>20.0</v>
      </c>
      <c r="E74" t="n" s="8">
        <v>0.002777777777777778</v>
      </c>
      <c r="F74" t="n" s="8">
        <v>0.002777777777777778</v>
      </c>
      <c r="G74" t="n" s="8">
        <v>0.002777777777777778</v>
      </c>
      <c r="H74" t="n" s="8">
        <v>0.05555555555555555</v>
      </c>
    </row>
    <row r="75">
      <c r="A75" s="74"/>
      <c r="B75" t="s" s="12">
        <v>17</v>
      </c>
      <c r="C75" t="n" s="12">
        <v>5.0</v>
      </c>
      <c r="D75" t="n" s="12">
        <v>31.0</v>
      </c>
      <c r="E75" t="n" s="14">
        <v>0.002777777777777778</v>
      </c>
      <c r="F75" t="n" s="14">
        <v>0.002777777777777778</v>
      </c>
      <c r="G75" t="n" s="14">
        <v>0.002777777777777778</v>
      </c>
      <c r="H75" t="n" s="14">
        <v>0.08611111111111111</v>
      </c>
    </row>
    <row r="76">
      <c r="A76" t="s" s="6">
        <v>35</v>
      </c>
      <c r="B76" t="s" s="6">
        <v>15</v>
      </c>
      <c r="C76" t="n" s="6">
        <v>5.0</v>
      </c>
      <c r="D76" t="n" s="20">
        <v>74.0</v>
      </c>
      <c r="E76" t="n" s="8">
        <v>0.004166666666666667</v>
      </c>
      <c r="F76" t="n" s="8">
        <v>0.004166666666666667</v>
      </c>
      <c r="G76" t="n" s="8">
        <v>0.004166666666666667</v>
      </c>
      <c r="H76" t="n" s="8">
        <v>0.30833333333333335</v>
      </c>
    </row>
    <row r="77">
      <c r="A77" s="74"/>
      <c r="B77" t="s" s="12">
        <v>17</v>
      </c>
      <c r="C77" t="n" s="12">
        <v>5.0</v>
      </c>
      <c r="D77" t="n" s="45">
        <v>145.0</v>
      </c>
      <c r="E77" t="n" s="14">
        <v>0.004166666666666667</v>
      </c>
      <c r="F77" t="n" s="14">
        <v>0.004166666666666667</v>
      </c>
      <c r="G77" t="n" s="14">
        <v>0.004166666666666667</v>
      </c>
      <c r="H77" t="n" s="14">
        <v>0.61875</v>
      </c>
    </row>
    <row r="78">
      <c r="A78" t="s" s="6">
        <v>36</v>
      </c>
      <c r="B78" t="s" s="6">
        <v>15</v>
      </c>
      <c r="C78" t="n" s="6">
        <v>5.0</v>
      </c>
      <c r="D78" t="n" s="22">
        <v>60.0</v>
      </c>
      <c r="E78" t="n" s="8">
        <v>6.944444444444445E-4</v>
      </c>
      <c r="F78" t="n" s="8">
        <v>6.944444444444445E-4</v>
      </c>
      <c r="G78" t="n" s="8">
        <v>6.944444444444445E-4</v>
      </c>
      <c r="H78" t="n" s="8">
        <v>0.041666666666666664</v>
      </c>
    </row>
    <row r="79">
      <c r="A79" s="74"/>
      <c r="B79" t="s" s="12">
        <v>17</v>
      </c>
      <c r="C79" t="n" s="12">
        <v>5.0</v>
      </c>
      <c r="D79" t="n" s="12">
        <v>54.0</v>
      </c>
      <c r="E79" t="n" s="14">
        <v>6.944444444444445E-4</v>
      </c>
      <c r="F79" t="n" s="14">
        <v>6.944444444444445E-4</v>
      </c>
      <c r="G79" t="n" s="14">
        <v>6.944444444444445E-4</v>
      </c>
      <c r="H79" t="n" s="14">
        <v>0.0375</v>
      </c>
    </row>
    <row r="80">
      <c r="A80" t="s" s="6">
        <v>37</v>
      </c>
      <c r="B80" t="s" s="6">
        <v>15</v>
      </c>
      <c r="C80" t="n" s="6">
        <v>5.0</v>
      </c>
      <c r="D80" t="n" s="22">
        <v>60.0</v>
      </c>
      <c r="E80" t="n" s="8">
        <v>0.005555555555555556</v>
      </c>
      <c r="F80" t="n" s="8">
        <v>0.005555555555555556</v>
      </c>
      <c r="G80" t="n" s="8">
        <v>0.005555555555555556</v>
      </c>
      <c r="H80" t="n" s="8">
        <v>0.3333333333333333</v>
      </c>
    </row>
    <row r="81">
      <c r="A81" s="74"/>
      <c r="B81" t="s" s="12">
        <v>17</v>
      </c>
      <c r="C81" t="n" s="12">
        <v>5.0</v>
      </c>
      <c r="D81" t="n" s="12">
        <v>54.0</v>
      </c>
      <c r="E81" t="n" s="14">
        <v>0.005555555555555556</v>
      </c>
      <c r="F81" t="n" s="14">
        <v>0.005555555555555556</v>
      </c>
      <c r="G81" t="n" s="14">
        <v>0.005555555555555556</v>
      </c>
      <c r="H81" t="n" s="14">
        <v>0.3</v>
      </c>
    </row>
    <row r="82">
      <c r="A82" t="s" s="6">
        <v>38</v>
      </c>
      <c r="B82" t="s" s="6">
        <v>15</v>
      </c>
      <c r="C82" t="n" s="6">
        <v>5.0</v>
      </c>
      <c r="D82" t="n" s="22">
        <v>60.0</v>
      </c>
      <c r="E82" t="n" s="8">
        <v>6.944444444444445E-4</v>
      </c>
      <c r="F82" t="n" s="8">
        <v>6.944444444444445E-4</v>
      </c>
      <c r="G82" t="n" s="8">
        <v>6.944444444444445E-4</v>
      </c>
      <c r="H82" t="n" s="8">
        <v>0.041666666666666664</v>
      </c>
    </row>
    <row r="83">
      <c r="A83" s="74"/>
      <c r="B83" t="s" s="12">
        <v>17</v>
      </c>
      <c r="C83" t="n" s="12">
        <v>5.0</v>
      </c>
      <c r="D83" t="n" s="12">
        <v>54.0</v>
      </c>
      <c r="E83" t="n" s="14">
        <v>6.944444444444445E-4</v>
      </c>
      <c r="F83" t="n" s="14">
        <v>6.944444444444445E-4</v>
      </c>
      <c r="G83" t="n" s="14">
        <v>6.944444444444445E-4</v>
      </c>
      <c r="H83" t="n" s="14">
        <v>0.0375</v>
      </c>
    </row>
    <row r="84">
      <c r="A84" t="s" s="6">
        <v>39</v>
      </c>
      <c r="B84" t="s" s="6">
        <v>15</v>
      </c>
      <c r="C84" t="n" s="6">
        <v>5.0</v>
      </c>
      <c r="D84" t="n" s="22">
        <v>60.0</v>
      </c>
      <c r="E84" t="n" s="8">
        <v>0.0020833333333333333</v>
      </c>
      <c r="F84" t="n" s="8">
        <v>0.0020833333333333333</v>
      </c>
      <c r="G84" t="n" s="8">
        <v>0.0020833333333333333</v>
      </c>
      <c r="H84" t="n" s="8">
        <v>0.125</v>
      </c>
    </row>
    <row r="85">
      <c r="A85" s="74"/>
      <c r="B85" t="s" s="12">
        <v>17</v>
      </c>
      <c r="C85" t="n" s="12">
        <v>5.0</v>
      </c>
      <c r="D85" t="n" s="12">
        <v>54.0</v>
      </c>
      <c r="E85" t="n" s="14">
        <v>0.0020833333333333333</v>
      </c>
      <c r="F85" t="n" s="14">
        <v>0.0020833333333333333</v>
      </c>
      <c r="G85" t="n" s="14">
        <v>0.0020833333333333333</v>
      </c>
      <c r="H85" t="n" s="14">
        <v>0.1125</v>
      </c>
    </row>
    <row r="86">
      <c r="A86" t="s" s="6">
        <v>40</v>
      </c>
      <c r="B86" t="s" s="6">
        <v>15</v>
      </c>
      <c r="C86" t="n" s="6">
        <v>5.0</v>
      </c>
      <c r="D86" t="n" s="24">
        <v>43.0</v>
      </c>
      <c r="E86" t="n" s="35">
        <v>0.03333333333333333</v>
      </c>
      <c r="F86" t="n" s="35">
        <v>0.03333333333333333</v>
      </c>
      <c r="G86" t="n" s="35">
        <v>0.03333333333333333</v>
      </c>
      <c r="H86" t="n" s="35">
        <v>1.4666666666666666</v>
      </c>
    </row>
    <row r="87">
      <c r="A87" s="74"/>
      <c r="B87" t="s" s="12">
        <v>17</v>
      </c>
      <c r="C87" t="n" s="12">
        <v>5.0</v>
      </c>
      <c r="D87" t="n" s="12">
        <v>39.0</v>
      </c>
      <c r="E87" t="n" s="60">
        <v>0.03333333333333333</v>
      </c>
      <c r="F87" t="n" s="60">
        <v>0.03333333333333333</v>
      </c>
      <c r="G87" t="n" s="60">
        <v>0.03333333333333333</v>
      </c>
      <c r="H87" t="n" s="60">
        <v>1.3333333333333333</v>
      </c>
    </row>
    <row r="88">
      <c r="A88" t="s" s="6">
        <v>41</v>
      </c>
      <c r="B88" t="s" s="6">
        <v>15</v>
      </c>
      <c r="C88" t="n" s="6">
        <v>5.0</v>
      </c>
      <c r="D88" t="n" s="6">
        <v>0.0</v>
      </c>
      <c r="E88" t="n" s="8">
        <v>0.0</v>
      </c>
      <c r="F88" t="n" s="8">
        <v>0.0</v>
      </c>
      <c r="G88" t="n" s="8">
        <v>0.0</v>
      </c>
      <c r="H88" t="n" s="8">
        <v>0.0</v>
      </c>
    </row>
    <row r="89">
      <c r="A89" s="74"/>
      <c r="B89" t="s" s="12">
        <v>17</v>
      </c>
      <c r="C89" t="n" s="12">
        <v>5.0</v>
      </c>
      <c r="D89" t="n" s="12">
        <v>17.0</v>
      </c>
      <c r="E89" t="n" s="14">
        <v>0.004166666666666667</v>
      </c>
      <c r="F89" t="n" s="14">
        <v>0.004166666666666667</v>
      </c>
      <c r="G89" t="n" s="14">
        <v>0.004166666666666667</v>
      </c>
      <c r="H89" t="n" s="14">
        <v>0.07083333333333333</v>
      </c>
    </row>
    <row r="90">
      <c r="A90" t="s" s="6">
        <v>42</v>
      </c>
      <c r="B90" t="s" s="6">
        <v>15</v>
      </c>
      <c r="C90" t="n" s="6">
        <v>5.0</v>
      </c>
      <c r="D90" t="n" s="6">
        <v>0.0</v>
      </c>
      <c r="E90" t="n" s="8">
        <v>0.0</v>
      </c>
      <c r="F90" t="n" s="8">
        <v>0.0</v>
      </c>
      <c r="G90" t="n" s="8">
        <v>0.0</v>
      </c>
      <c r="H90" t="n" s="8">
        <v>0.0</v>
      </c>
    </row>
    <row r="91">
      <c r="A91" s="74"/>
      <c r="B91" t="s" s="12">
        <v>17</v>
      </c>
      <c r="C91" t="n" s="12">
        <v>5.0</v>
      </c>
      <c r="D91" t="n" s="12">
        <v>27.0</v>
      </c>
      <c r="E91" t="n" s="14">
        <v>0.0125</v>
      </c>
      <c r="F91" t="n" s="14">
        <v>0.0125</v>
      </c>
      <c r="G91" t="n" s="14">
        <v>0.0125</v>
      </c>
      <c r="H91" t="n" s="14">
        <v>0.3375</v>
      </c>
    </row>
    <row r="92">
      <c r="A92" t="s" s="6">
        <v>43</v>
      </c>
      <c r="B92" t="s" s="6">
        <v>15</v>
      </c>
      <c r="C92" t="n" s="6">
        <v>5.0</v>
      </c>
      <c r="D92" t="n" s="6">
        <v>0.0</v>
      </c>
      <c r="E92" t="n" s="8">
        <v>0.0</v>
      </c>
      <c r="F92" t="n" s="8">
        <v>0.0</v>
      </c>
      <c r="G92" t="n" s="8">
        <v>0.0</v>
      </c>
      <c r="H92" t="n" s="8">
        <v>0.0</v>
      </c>
    </row>
    <row r="93">
      <c r="A93" s="74"/>
      <c r="B93" t="s" s="12">
        <v>17</v>
      </c>
      <c r="C93" t="n" s="12">
        <v>5.0</v>
      </c>
      <c r="D93" t="n" s="12">
        <v>27.0</v>
      </c>
      <c r="E93" t="n" s="14">
        <v>0.009722222222222222</v>
      </c>
      <c r="F93" t="n" s="14">
        <v>0.009722222222222222</v>
      </c>
      <c r="G93" t="n" s="14">
        <v>0.009722222222222222</v>
      </c>
      <c r="H93" t="n" s="14">
        <v>0.2625</v>
      </c>
    </row>
    <row r="94">
      <c r="A94" t="s" s="6">
        <v>44</v>
      </c>
      <c r="B94" t="s" s="6">
        <v>15</v>
      </c>
      <c r="C94" t="n" s="6">
        <v>5.0</v>
      </c>
      <c r="D94" t="n" s="6">
        <v>0.0</v>
      </c>
      <c r="E94" t="n" s="8">
        <v>0.0</v>
      </c>
      <c r="F94" t="n" s="8">
        <v>0.0</v>
      </c>
      <c r="G94" t="n" s="8">
        <v>0.0</v>
      </c>
      <c r="H94" t="n" s="8">
        <v>0.0</v>
      </c>
    </row>
    <row r="95">
      <c r="A95" s="74"/>
      <c r="B95" t="s" s="12">
        <v>17</v>
      </c>
      <c r="C95" t="n" s="12">
        <v>5.0</v>
      </c>
      <c r="D95" t="n" s="12">
        <v>11.0</v>
      </c>
      <c r="E95" t="n" s="14">
        <v>0.009722222222222222</v>
      </c>
      <c r="F95" t="n" s="14">
        <v>0.009722222222222222</v>
      </c>
      <c r="G95" t="n" s="14">
        <v>0.009722222222222222</v>
      </c>
      <c r="H95" t="n" s="14">
        <v>0.10694444444444444</v>
      </c>
    </row>
    <row r="96">
      <c r="A96" t="s" s="6">
        <v>45</v>
      </c>
      <c r="B96" t="s" s="6">
        <v>15</v>
      </c>
      <c r="C96" t="n" s="6">
        <v>5.0</v>
      </c>
      <c r="D96" t="n" s="6">
        <v>34.0</v>
      </c>
      <c r="E96" t="n" s="8">
        <v>0.005555555555555556</v>
      </c>
      <c r="F96" t="n" s="8">
        <v>0.005555555555555556</v>
      </c>
      <c r="G96" t="n" s="8">
        <v>0.005555555555555556</v>
      </c>
      <c r="H96" t="n" s="8">
        <v>0.18888888888888888</v>
      </c>
    </row>
    <row r="97">
      <c r="A97" s="74"/>
      <c r="B97" t="s" s="12">
        <v>17</v>
      </c>
      <c r="C97" t="n" s="12">
        <v>5.0</v>
      </c>
      <c r="D97" t="n" s="48">
        <v>96.0</v>
      </c>
      <c r="E97" t="n" s="14">
        <v>0.005555555555555556</v>
      </c>
      <c r="F97" t="n" s="14">
        <v>0.005555555555555556</v>
      </c>
      <c r="G97" t="n" s="14">
        <v>0.005555555555555556</v>
      </c>
      <c r="H97" t="n" s="14">
        <v>0.5333333333333333</v>
      </c>
    </row>
    <row r="100">
      <c r="A100" s="71" t="s">
        <v>48</v>
      </c>
      <c r="B100" s="78"/>
    </row>
    <row r="101">
      <c r="A101" s="77" t="s">
        <v>49</v>
      </c>
      <c r="B101" s="79"/>
    </row>
    <row r="102">
      <c r="A102" s="77" t="s">
        <v>50</v>
      </c>
      <c r="B102" s="67" t="s">
        <v>51</v>
      </c>
    </row>
    <row r="103">
      <c r="A103" t="s" s="15">
        <v>52</v>
      </c>
      <c r="B103" s="40" t="s">
        <v>52</v>
      </c>
    </row>
    <row r="104">
      <c r="A104" s="16" t="s">
        <v>53</v>
      </c>
      <c r="B104" s="41" t="s">
        <v>53</v>
      </c>
    </row>
    <row r="105">
      <c r="A105" s="17" t="s">
        <v>54</v>
      </c>
      <c r="B105" s="42" t="s">
        <v>54</v>
      </c>
    </row>
    <row r="106">
      <c r="A106" s="18" t="s">
        <v>55</v>
      </c>
      <c r="B106" s="43" t="s">
        <v>55</v>
      </c>
    </row>
    <row r="107">
      <c r="A107" s="19" t="s">
        <v>56</v>
      </c>
      <c r="B107" s="44" t="s">
        <v>56</v>
      </c>
    </row>
    <row r="108">
      <c r="A108" s="80" t="s">
        <v>57</v>
      </c>
      <c r="B108" s="68" t="s">
        <v>57</v>
      </c>
    </row>
  </sheetData>
  <mergeCells count="42">
    <mergeCell ref="A8:F8"/>
    <mergeCell ref="A15:F15"/>
    <mergeCell ref="A16:F16"/>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8:F58"/>
    <mergeCell ref="A59:F59"/>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A101:B10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52.87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zoomScaleNormal="100" workbookViewId="0"/>
  </sheetViews>
  <sheetFormatPr baseColWidth="20" defaultColWidth="21.7109375" defaultRowHeight="15" x14ac:dyDescent="0.25"/>
  <cols>
    <col min="1" max="1" bestFit="true" customWidth="true" width="21.01171875"/>
    <col min="2" max="2" bestFit="true" customWidth="true" width="52.875"/>
    <col min="3" max="3" bestFit="true" customWidth="true" width="15.6640625"/>
    <col min="4" max="4" bestFit="true" customWidth="true" width="17.26171875"/>
    <col min="5" max="5" bestFit="true" customWidth="true" width="9.45703125"/>
  </cols>
  <sheetData>
    <row r="1">
      <c r="A1" t="s" s="71">
        <v>0</v>
      </c>
      <c r="B1" t="s" s="72">
        <v>1</v>
      </c>
    </row>
    <row r="2">
      <c r="A2" t="s" s="69">
        <v>2</v>
      </c>
      <c r="B2" t="s" s="67">
        <v>3</v>
      </c>
    </row>
    <row r="3">
      <c r="A3" t="s" s="69">
        <v>4</v>
      </c>
      <c r="B3" t="s" s="67">
        <v>5</v>
      </c>
    </row>
    <row r="4">
      <c r="A4" t="s" s="69">
        <v>6</v>
      </c>
      <c r="B4" t="s" s="67">
        <v>7</v>
      </c>
    </row>
    <row r="5">
      <c r="A5" t="s" s="70">
        <v>8</v>
      </c>
      <c r="B5" t="s" s="68">
        <v>9</v>
      </c>
    </row>
    <row r="7" ht="30.0" customHeight="true">
      <c r="A7" t="s" s="2">
        <v>71</v>
      </c>
    </row>
    <row r="10">
      <c r="A10" t="s" s="5">
        <v>72</v>
      </c>
      <c r="B10" t="s" s="5">
        <v>10</v>
      </c>
      <c r="C10" t="s" s="5">
        <v>11</v>
      </c>
      <c r="D10" t="s" s="5">
        <v>73</v>
      </c>
      <c r="E10" t="s" s="5">
        <v>74</v>
      </c>
    </row>
    <row r="11">
      <c r="A11" t="s" s="6">
        <v>75</v>
      </c>
      <c r="B11" t="s" s="6">
        <v>15</v>
      </c>
      <c r="C11" t="n" s="6">
        <v>5.0</v>
      </c>
      <c r="D11" t="n" s="35">
        <v>1.6333333333333333</v>
      </c>
      <c r="E11" t="n" s="30">
        <v>0.98</v>
      </c>
    </row>
    <row r="12">
      <c r="A12" s="74"/>
      <c r="B12" t="s" s="12">
        <v>17</v>
      </c>
      <c r="C12" t="n" s="12">
        <v>5.0</v>
      </c>
      <c r="D12" t="n" s="61">
        <v>1.5541666666666667</v>
      </c>
      <c r="E12" t="n" s="56">
        <v>0.9325</v>
      </c>
    </row>
    <row r="13">
      <c r="A13" t="s" s="6">
        <v>76</v>
      </c>
      <c r="B13" t="s" s="6">
        <v>15</v>
      </c>
      <c r="C13" t="n" s="6">
        <v>5.0</v>
      </c>
      <c r="D13" t="n" s="39">
        <v>0.9694444444444444</v>
      </c>
      <c r="E13" t="n" s="34">
        <v>0.5817</v>
      </c>
    </row>
    <row r="14">
      <c r="A14" s="74"/>
      <c r="B14" t="s" s="12">
        <v>17</v>
      </c>
      <c r="C14" t="n" s="12">
        <v>5.0</v>
      </c>
      <c r="D14" t="n" s="60">
        <v>1.6298611111111112</v>
      </c>
      <c r="E14" t="n" s="55">
        <v>0.9779</v>
      </c>
    </row>
    <row r="15">
      <c r="A15" t="s" s="6">
        <v>77</v>
      </c>
      <c r="B15" t="s" s="6">
        <v>15</v>
      </c>
      <c r="C15" t="n" s="6">
        <v>5.0</v>
      </c>
      <c r="D15" t="n" s="8">
        <v>0.2638888888888889</v>
      </c>
      <c r="E15" t="n" s="9">
        <v>0.1583</v>
      </c>
    </row>
    <row r="16">
      <c r="A16" s="74"/>
      <c r="B16" t="s" s="12">
        <v>17</v>
      </c>
      <c r="C16" t="n" s="12">
        <v>5.0</v>
      </c>
      <c r="D16" t="n" s="14">
        <v>0.40902777777777777</v>
      </c>
      <c r="E16" t="n" s="13">
        <v>0.2454</v>
      </c>
    </row>
    <row r="17">
      <c r="A17" t="s" s="6">
        <v>78</v>
      </c>
      <c r="B17" t="s" s="6">
        <v>15</v>
      </c>
      <c r="C17" t="n" s="6">
        <v>5.0</v>
      </c>
      <c r="D17" t="n" s="8">
        <v>0.0</v>
      </c>
      <c r="E17" t="n" s="9">
        <v>0.0</v>
      </c>
    </row>
    <row r="18">
      <c r="A18" s="74"/>
      <c r="B18" t="s" s="12">
        <v>17</v>
      </c>
      <c r="C18" t="n" s="12">
        <v>5.0</v>
      </c>
      <c r="D18" t="n" s="14">
        <v>0.7069444444444445</v>
      </c>
      <c r="E18" t="n" s="13">
        <v>0.4242</v>
      </c>
    </row>
    <row r="20">
      <c r="A20" s="71" t="s">
        <v>48</v>
      </c>
      <c r="B20" s="78"/>
    </row>
    <row r="21">
      <c r="A21" s="77" t="s">
        <v>49</v>
      </c>
      <c r="B21" s="79"/>
    </row>
    <row r="22">
      <c r="A22" s="77" t="s">
        <v>50</v>
      </c>
      <c r="B22" s="67" t="s">
        <v>51</v>
      </c>
    </row>
    <row r="23">
      <c r="A23" t="s" s="15">
        <v>52</v>
      </c>
      <c r="B23" s="40" t="s">
        <v>52</v>
      </c>
    </row>
    <row r="24">
      <c r="A24" s="16" t="s">
        <v>53</v>
      </c>
      <c r="B24" s="41" t="s">
        <v>53</v>
      </c>
    </row>
    <row r="25">
      <c r="A25" s="17" t="s">
        <v>54</v>
      </c>
      <c r="B25" s="42" t="s">
        <v>54</v>
      </c>
    </row>
    <row r="26">
      <c r="A26" s="18" t="s">
        <v>55</v>
      </c>
      <c r="B26" s="43" t="s">
        <v>55</v>
      </c>
    </row>
    <row r="27">
      <c r="A27" s="19" t="s">
        <v>56</v>
      </c>
      <c r="B27" s="44" t="s">
        <v>56</v>
      </c>
    </row>
    <row r="28">
      <c r="A28" s="80" t="s">
        <v>57</v>
      </c>
      <c r="B28" s="68" t="s">
        <v>57</v>
      </c>
    </row>
  </sheetData>
  <mergeCells count="6">
    <mergeCell ref="A7:F7"/>
    <mergeCell ref="A11:A12"/>
    <mergeCell ref="A13:A14"/>
    <mergeCell ref="A15:A16"/>
    <mergeCell ref="A17:A18"/>
    <mergeCell ref="A21:B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52.87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zoomScaleNormal="100" workbookViewId="0"/>
  </sheetViews>
  <sheetFormatPr baseColWidth="20" defaultColWidth="21.7109375" defaultRowHeight="15" x14ac:dyDescent="0.25"/>
  <cols>
    <col min="1" max="1" bestFit="true" customWidth="true" width="21.01171875"/>
    <col min="2" max="2" bestFit="true" customWidth="true" width="52.875"/>
    <col min="3" max="3" bestFit="true" customWidth="true" width="13.4765625"/>
    <col min="4" max="4" bestFit="true" customWidth="true" width="15.6640625"/>
    <col min="5" max="5" bestFit="true" customWidth="true" width="18.26171875"/>
    <col min="6" max="6" bestFit="true" customWidth="true" width="16.65234375"/>
  </cols>
  <sheetData>
    <row r="1">
      <c r="A1" t="s" s="71">
        <v>0</v>
      </c>
      <c r="B1" t="s" s="72">
        <v>1</v>
      </c>
    </row>
    <row r="2">
      <c r="A2" t="s" s="69">
        <v>2</v>
      </c>
      <c r="B2" t="s" s="67">
        <v>3</v>
      </c>
    </row>
    <row r="3">
      <c r="A3" t="s" s="69">
        <v>4</v>
      </c>
      <c r="B3" t="s" s="67">
        <v>5</v>
      </c>
    </row>
    <row r="4">
      <c r="A4" t="s" s="69">
        <v>6</v>
      </c>
      <c r="B4" t="s" s="67">
        <v>7</v>
      </c>
    </row>
    <row r="5">
      <c r="A5" t="s" s="70">
        <v>8</v>
      </c>
      <c r="B5" t="s" s="68">
        <v>9</v>
      </c>
    </row>
    <row r="7" ht="45.0" customHeight="true">
      <c r="A7" t="s" s="2">
        <v>82</v>
      </c>
    </row>
    <row r="10" ht="45.0" customHeight="true">
      <c r="A10" t="s" s="5">
        <v>72</v>
      </c>
      <c r="B10" t="s" s="5">
        <v>26</v>
      </c>
      <c r="C10" t="s" s="5">
        <v>10</v>
      </c>
      <c r="D10" t="s" s="5">
        <v>11</v>
      </c>
      <c r="E10" t="s" s="5">
        <v>85</v>
      </c>
      <c r="F10" t="s" s="5">
        <v>86</v>
      </c>
    </row>
    <row r="11">
      <c r="A11" t="s" s="6">
        <v>75</v>
      </c>
      <c r="B11" t="s" s="6">
        <v>40</v>
      </c>
      <c r="C11" t="s" s="6">
        <v>15</v>
      </c>
      <c r="D11" t="n" s="6">
        <v>5.0</v>
      </c>
      <c r="E11" t="n" s="8">
        <v>31.24513888888889</v>
      </c>
      <c r="F11" t="n" s="6">
        <v>16.0</v>
      </c>
    </row>
    <row r="12">
      <c r="A12" s="83"/>
      <c r="B12" s="73"/>
      <c r="C12" t="s" s="12">
        <v>17</v>
      </c>
      <c r="D12" t="n" s="12">
        <v>5.0</v>
      </c>
      <c r="E12" t="n" s="60">
        <v>40.513194444444444</v>
      </c>
      <c r="F12" t="n" s="49">
        <v>14.0</v>
      </c>
    </row>
    <row r="13">
      <c r="A13" s="83"/>
      <c r="B13" t="s" s="6">
        <v>38</v>
      </c>
      <c r="C13" t="s" s="6">
        <v>15</v>
      </c>
      <c r="D13" t="n" s="6">
        <v>5.0</v>
      </c>
      <c r="E13" t="n" s="8">
        <v>2.954861111111111</v>
      </c>
      <c r="F13" t="n" s="6">
        <v>0.0</v>
      </c>
    </row>
    <row r="14">
      <c r="A14" s="83"/>
      <c r="B14" s="73"/>
      <c r="C14" t="s" s="12">
        <v>17</v>
      </c>
      <c r="D14" t="n" s="12">
        <v>5.0</v>
      </c>
      <c r="E14" t="n" s="8">
        <v>2.1145833333333335</v>
      </c>
      <c r="F14" t="n" s="12">
        <v>0.0</v>
      </c>
    </row>
    <row r="15">
      <c r="A15" s="83"/>
      <c r="B15" t="s" s="6">
        <v>39</v>
      </c>
      <c r="C15" t="s" s="6">
        <v>15</v>
      </c>
      <c r="D15" t="n" s="6">
        <v>5.0</v>
      </c>
      <c r="E15" t="n" s="8">
        <v>0.9777777777777777</v>
      </c>
      <c r="F15" t="n" s="6">
        <v>0.0</v>
      </c>
    </row>
    <row r="16">
      <c r="A16" s="83"/>
      <c r="B16" s="73"/>
      <c r="C16" t="s" s="12">
        <v>17</v>
      </c>
      <c r="D16" t="n" s="12">
        <v>5.0</v>
      </c>
      <c r="E16" t="n" s="8">
        <v>1.0888888888888888</v>
      </c>
      <c r="F16" t="n" s="12">
        <v>0.0</v>
      </c>
    </row>
    <row r="17">
      <c r="A17" s="83"/>
      <c r="B17" t="s" s="6">
        <v>41</v>
      </c>
      <c r="C17" t="s" s="6">
        <v>15</v>
      </c>
      <c r="D17" t="n" s="6">
        <v>5.0</v>
      </c>
      <c r="E17" t="n" s="35">
        <v>89.83541666666666</v>
      </c>
      <c r="F17" t="n" s="20">
        <v>43.0</v>
      </c>
    </row>
    <row r="18">
      <c r="A18" s="81"/>
      <c r="B18" s="73"/>
      <c r="C18" t="s" s="12">
        <v>17</v>
      </c>
      <c r="D18" t="n" s="12">
        <v>5.0</v>
      </c>
      <c r="E18" t="n" s="63">
        <v>27.64236111111111</v>
      </c>
      <c r="F18" t="n" s="46">
        <v>22.0</v>
      </c>
    </row>
    <row r="19">
      <c r="A19" t="s" s="6">
        <v>78</v>
      </c>
      <c r="B19" t="s" s="6">
        <v>44</v>
      </c>
      <c r="C19" t="s" s="6">
        <v>15</v>
      </c>
      <c r="D19" t="n" s="6">
        <v>5.0</v>
      </c>
      <c r="E19" t="n" s="8">
        <v>0.0</v>
      </c>
      <c r="F19" t="n" s="6">
        <v>0.0</v>
      </c>
    </row>
    <row r="20">
      <c r="A20" s="83"/>
      <c r="B20" s="73"/>
      <c r="C20" t="s" s="12">
        <v>17</v>
      </c>
      <c r="D20" t="n" s="12">
        <v>5.0</v>
      </c>
      <c r="E20" t="n" s="8">
        <v>2.5</v>
      </c>
      <c r="F20" t="n" s="12">
        <v>0.0</v>
      </c>
    </row>
    <row r="21">
      <c r="A21" s="83"/>
      <c r="B21" t="s" s="6">
        <v>43</v>
      </c>
      <c r="C21" t="s" s="6">
        <v>15</v>
      </c>
      <c r="D21" t="n" s="6">
        <v>5.0</v>
      </c>
      <c r="E21" t="n" s="8">
        <v>0.0</v>
      </c>
      <c r="F21" t="n" s="6">
        <v>0.0</v>
      </c>
    </row>
    <row r="22">
      <c r="A22" s="83"/>
      <c r="B22" s="73"/>
      <c r="C22" t="s" s="12">
        <v>17</v>
      </c>
      <c r="D22" t="n" s="12">
        <v>5.0</v>
      </c>
      <c r="E22" t="n" s="8">
        <v>7.486111111111111</v>
      </c>
      <c r="F22" t="n" s="12">
        <v>0.0</v>
      </c>
    </row>
    <row r="23">
      <c r="A23" s="83"/>
      <c r="B23" t="s" s="6">
        <v>42</v>
      </c>
      <c r="C23" t="s" s="6">
        <v>15</v>
      </c>
      <c r="D23" t="n" s="6">
        <v>5.0</v>
      </c>
      <c r="E23" t="n" s="8">
        <v>0.0</v>
      </c>
      <c r="F23" t="n" s="6">
        <v>0.0</v>
      </c>
    </row>
    <row r="24">
      <c r="A24" s="81"/>
      <c r="B24" s="73"/>
      <c r="C24" t="s" s="12">
        <v>17</v>
      </c>
      <c r="D24" t="n" s="12">
        <v>5.0</v>
      </c>
      <c r="E24" t="n" s="8">
        <v>1.35</v>
      </c>
      <c r="F24" t="n" s="12">
        <v>0.0</v>
      </c>
    </row>
    <row r="25">
      <c r="A25" t="s" s="6">
        <v>77</v>
      </c>
      <c r="B25" t="s" s="6">
        <v>31</v>
      </c>
      <c r="C25" t="s" s="6">
        <v>15</v>
      </c>
      <c r="D25" t="n" s="6">
        <v>5.0</v>
      </c>
      <c r="E25" t="n" s="8">
        <v>0.0</v>
      </c>
      <c r="F25" t="n" s="6">
        <v>0.0</v>
      </c>
    </row>
    <row r="26">
      <c r="A26" s="83"/>
      <c r="B26" s="73"/>
      <c r="C26" t="s" s="12">
        <v>17</v>
      </c>
      <c r="D26" t="n" s="12">
        <v>5.0</v>
      </c>
      <c r="E26" t="n" s="8">
        <v>0.18819444444444444</v>
      </c>
      <c r="F26" t="n" s="12">
        <v>0.0</v>
      </c>
    </row>
    <row r="27">
      <c r="A27" s="83"/>
      <c r="B27" t="s" s="6">
        <v>29</v>
      </c>
      <c r="C27" t="s" s="6">
        <v>15</v>
      </c>
      <c r="D27" t="n" s="6">
        <v>5.0</v>
      </c>
      <c r="E27" t="n" s="8">
        <v>0.0</v>
      </c>
      <c r="F27" t="n" s="6">
        <v>0.0</v>
      </c>
    </row>
    <row r="28">
      <c r="A28" s="83"/>
      <c r="B28" s="73"/>
      <c r="C28" t="s" s="12">
        <v>17</v>
      </c>
      <c r="D28" t="n" s="12">
        <v>5.0</v>
      </c>
      <c r="E28" t="n" s="8">
        <v>0.034722222222222224</v>
      </c>
      <c r="F28" t="n" s="12">
        <v>0.0</v>
      </c>
    </row>
    <row r="29">
      <c r="A29" s="83"/>
      <c r="B29" t="s" s="6">
        <v>30</v>
      </c>
      <c r="C29" t="s" s="6">
        <v>15</v>
      </c>
      <c r="D29" t="n" s="6">
        <v>5.0</v>
      </c>
      <c r="E29" t="n" s="8">
        <v>0.0</v>
      </c>
      <c r="F29" t="n" s="6">
        <v>0.0</v>
      </c>
    </row>
    <row r="30">
      <c r="A30" s="83"/>
      <c r="B30" s="73"/>
      <c r="C30" t="s" s="12">
        <v>17</v>
      </c>
      <c r="D30" t="n" s="12">
        <v>5.0</v>
      </c>
      <c r="E30" t="n" s="8">
        <v>0.04861111111111111</v>
      </c>
      <c r="F30" t="n" s="12">
        <v>0.0</v>
      </c>
    </row>
    <row r="31">
      <c r="A31" s="83"/>
      <c r="B31" t="s" s="6">
        <v>28</v>
      </c>
      <c r="C31" t="s" s="6">
        <v>15</v>
      </c>
      <c r="D31" t="n" s="6">
        <v>5.0</v>
      </c>
      <c r="E31" t="n" s="8">
        <v>0.0</v>
      </c>
      <c r="F31" t="n" s="6">
        <v>0.0</v>
      </c>
    </row>
    <row r="32">
      <c r="A32" s="81"/>
      <c r="B32" s="73"/>
      <c r="C32" t="s" s="12">
        <v>17</v>
      </c>
      <c r="D32" t="n" s="12">
        <v>5.0</v>
      </c>
      <c r="E32" t="n" s="8">
        <v>0.02013888888888889</v>
      </c>
      <c r="F32" t="n" s="12">
        <v>0.0</v>
      </c>
    </row>
    <row r="33">
      <c r="A33" t="s" s="6">
        <v>76</v>
      </c>
      <c r="B33" t="s" s="6">
        <v>37</v>
      </c>
      <c r="C33" t="s" s="6">
        <v>15</v>
      </c>
      <c r="D33" t="n" s="6">
        <v>5.0</v>
      </c>
      <c r="E33" t="n" s="8">
        <v>1.082638888888889</v>
      </c>
      <c r="F33" t="n" s="6">
        <v>0.0</v>
      </c>
    </row>
    <row r="34">
      <c r="A34" s="83"/>
      <c r="B34" s="73"/>
      <c r="C34" t="s" s="12">
        <v>17</v>
      </c>
      <c r="D34" t="n" s="12">
        <v>5.0</v>
      </c>
      <c r="E34" t="n" s="8">
        <v>15.011111111111111</v>
      </c>
      <c r="F34" t="n" s="12">
        <v>0.0</v>
      </c>
    </row>
    <row r="35">
      <c r="A35" s="83"/>
      <c r="B35" t="s" s="6">
        <v>35</v>
      </c>
      <c r="C35" t="s" s="6">
        <v>15</v>
      </c>
      <c r="D35" t="n" s="6">
        <v>5.0</v>
      </c>
      <c r="E35" t="n" s="8">
        <v>0.4527777777777778</v>
      </c>
      <c r="F35" t="n" s="6">
        <v>0.0</v>
      </c>
    </row>
    <row r="36">
      <c r="A36" s="83"/>
      <c r="B36" s="73"/>
      <c r="C36" t="s" s="12">
        <v>17</v>
      </c>
      <c r="D36" t="n" s="12">
        <v>5.0</v>
      </c>
      <c r="E36" t="n" s="63">
        <v>26.839583333333334</v>
      </c>
      <c r="F36" t="n" s="12">
        <v>12.0</v>
      </c>
    </row>
    <row r="37">
      <c r="A37" s="83"/>
      <c r="B37" t="s" s="6">
        <v>34</v>
      </c>
      <c r="C37" t="s" s="6">
        <v>15</v>
      </c>
      <c r="D37" t="n" s="6">
        <v>5.0</v>
      </c>
      <c r="E37" t="n" s="8">
        <v>0.1388888888888889</v>
      </c>
      <c r="F37" t="n" s="6">
        <v>0.0</v>
      </c>
    </row>
    <row r="38">
      <c r="A38" s="83"/>
      <c r="B38" s="73"/>
      <c r="C38" t="s" s="12">
        <v>17</v>
      </c>
      <c r="D38" t="n" s="12">
        <v>5.0</v>
      </c>
      <c r="E38" t="n" s="8">
        <v>0.5118055555555555</v>
      </c>
      <c r="F38" t="n" s="12">
        <v>0.0</v>
      </c>
    </row>
    <row r="39">
      <c r="A39" s="83"/>
      <c r="B39" t="s" s="6">
        <v>33</v>
      </c>
      <c r="C39" t="s" s="6">
        <v>15</v>
      </c>
      <c r="D39" t="n" s="6">
        <v>5.0</v>
      </c>
      <c r="E39" t="n" s="8">
        <v>0.1111111111111111</v>
      </c>
      <c r="F39" t="n" s="6">
        <v>0.0</v>
      </c>
    </row>
    <row r="40">
      <c r="A40" s="83"/>
      <c r="B40" s="73"/>
      <c r="C40" t="s" s="12">
        <v>17</v>
      </c>
      <c r="D40" t="n" s="12">
        <v>5.0</v>
      </c>
      <c r="E40" t="n" s="8">
        <v>0.14791666666666667</v>
      </c>
      <c r="F40" t="n" s="12">
        <v>0.0</v>
      </c>
    </row>
    <row r="41">
      <c r="A41" s="83"/>
      <c r="B41" t="s" s="6">
        <v>36</v>
      </c>
      <c r="C41" t="s" s="6">
        <v>15</v>
      </c>
      <c r="D41" t="n" s="6">
        <v>5.0</v>
      </c>
      <c r="E41" t="n" s="8">
        <v>0.40347222222222223</v>
      </c>
      <c r="F41" t="n" s="6">
        <v>0.0</v>
      </c>
    </row>
    <row r="42">
      <c r="A42" s="83"/>
      <c r="B42" s="73"/>
      <c r="C42" t="s" s="12">
        <v>17</v>
      </c>
      <c r="D42" t="n" s="12">
        <v>5.0</v>
      </c>
      <c r="E42" t="n" s="64">
        <v>21.639583333333334</v>
      </c>
      <c r="F42" t="n" s="45">
        <v>25.0</v>
      </c>
    </row>
    <row r="43">
      <c r="A43" s="83"/>
      <c r="B43" t="s" s="6">
        <v>45</v>
      </c>
      <c r="C43" t="s" s="6">
        <v>15</v>
      </c>
      <c r="D43" t="n" s="6">
        <v>5.0</v>
      </c>
      <c r="E43" t="n" s="8">
        <v>0.04236111111111111</v>
      </c>
      <c r="F43" t="n" s="6">
        <v>0.0</v>
      </c>
    </row>
    <row r="44">
      <c r="A44" s="83"/>
      <c r="B44" s="73"/>
      <c r="C44" t="s" s="12">
        <v>17</v>
      </c>
      <c r="D44" t="n" s="12">
        <v>5.0</v>
      </c>
      <c r="E44" t="n" s="8">
        <v>1.1236111111111111</v>
      </c>
      <c r="F44" t="n" s="12">
        <v>1.0</v>
      </c>
    </row>
    <row r="45">
      <c r="A45" s="83"/>
      <c r="B45" t="s" s="6">
        <v>32</v>
      </c>
      <c r="C45" t="s" s="6">
        <v>15</v>
      </c>
      <c r="D45" t="n" s="6">
        <v>5.0</v>
      </c>
      <c r="E45" t="n" s="8">
        <v>0.0</v>
      </c>
      <c r="F45" t="n" s="6">
        <v>0.0</v>
      </c>
    </row>
    <row r="46">
      <c r="A46" s="81"/>
      <c r="B46" s="73"/>
      <c r="C46" t="s" s="12">
        <v>17</v>
      </c>
      <c r="D46" t="n" s="12">
        <v>5.0</v>
      </c>
      <c r="E46" t="n" s="8">
        <v>0.07361111111111111</v>
      </c>
      <c r="F46" t="n" s="12">
        <v>0.0</v>
      </c>
    </row>
    <row r="48">
      <c r="A48" s="71" t="s">
        <v>48</v>
      </c>
      <c r="B48" s="78"/>
    </row>
    <row r="49">
      <c r="A49" s="77" t="s">
        <v>49</v>
      </c>
      <c r="B49" s="79"/>
    </row>
    <row r="50">
      <c r="A50" s="77" t="s">
        <v>50</v>
      </c>
      <c r="B50" s="67" t="s">
        <v>51</v>
      </c>
    </row>
    <row r="51">
      <c r="A51" t="s" s="15">
        <v>52</v>
      </c>
      <c r="B51" s="40" t="s">
        <v>52</v>
      </c>
    </row>
    <row r="52">
      <c r="A52" s="16" t="s">
        <v>53</v>
      </c>
      <c r="B52" s="41" t="s">
        <v>53</v>
      </c>
    </row>
    <row r="53">
      <c r="A53" s="17" t="s">
        <v>54</v>
      </c>
      <c r="B53" s="42" t="s">
        <v>54</v>
      </c>
    </row>
    <row r="54">
      <c r="A54" s="18" t="s">
        <v>55</v>
      </c>
      <c r="B54" s="43" t="s">
        <v>55</v>
      </c>
    </row>
    <row r="55">
      <c r="A55" s="19" t="s">
        <v>56</v>
      </c>
      <c r="B55" s="44" t="s">
        <v>56</v>
      </c>
    </row>
    <row r="56">
      <c r="A56" s="80" t="s">
        <v>57</v>
      </c>
      <c r="B56" s="68" t="s">
        <v>57</v>
      </c>
    </row>
  </sheetData>
  <mergeCells count="24">
    <mergeCell ref="A7:F7"/>
    <mergeCell ref="B11:B12"/>
    <mergeCell ref="B13:B14"/>
    <mergeCell ref="B15:B16"/>
    <mergeCell ref="B17:B18"/>
    <mergeCell ref="A11:A18"/>
    <mergeCell ref="B19:B20"/>
    <mergeCell ref="B21:B22"/>
    <mergeCell ref="B23:B24"/>
    <mergeCell ref="A19:A24"/>
    <mergeCell ref="B25:B26"/>
    <mergeCell ref="B27:B28"/>
    <mergeCell ref="B29:B30"/>
    <mergeCell ref="B31:B32"/>
    <mergeCell ref="A25:A32"/>
    <mergeCell ref="B33:B34"/>
    <mergeCell ref="B35:B36"/>
    <mergeCell ref="B37:B38"/>
    <mergeCell ref="B39:B40"/>
    <mergeCell ref="B41:B42"/>
    <mergeCell ref="B43:B44"/>
    <mergeCell ref="B45:B46"/>
    <mergeCell ref="A33:A46"/>
    <mergeCell ref="A49:B4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RowHeight="15" x14ac:dyDescent="0.25"/>
  <cols>
    <col min="1" max="1" bestFit="true" customWidth="true" width="7.89453125"/>
    <col min="2" max="2" bestFit="true" customWidth="true" width="52.875"/>
  </cols>
  <sheetData>
    <row r="1">
      <c r="A1" t="s" s="71">
        <v>0</v>
      </c>
      <c r="B1" t="s" s="72">
        <v>1</v>
      </c>
    </row>
    <row r="2">
      <c r="A2" t="s" s="69">
        <v>2</v>
      </c>
      <c r="B2" t="s" s="67">
        <v>3</v>
      </c>
    </row>
    <row r="3">
      <c r="A3" t="s" s="69">
        <v>4</v>
      </c>
      <c r="B3" t="s" s="67">
        <v>5</v>
      </c>
    </row>
    <row r="4">
      <c r="A4" t="s" s="69">
        <v>6</v>
      </c>
      <c r="B4" t="s" s="67">
        <v>7</v>
      </c>
    </row>
    <row r="5">
      <c r="A5" t="s" s="70">
        <v>8</v>
      </c>
      <c r="B5" t="s" s="68">
        <v>9</v>
      </c>
    </row>
  </sheetData>
  <pageMargins left="0.7" right="0.7" top="0.78740157499999996" bottom="0.78740157499999996"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heetViews>
  <sheetFormatPr baseColWidth="10" defaultRowHeight="15" x14ac:dyDescent="0.25"/>
  <sheetData>
    <row r="1">
      <c r="A1" s="0">
        <f>Costs!A17</f>
      </c>
      <c r="B1" s="0">
        <f>Costs!H17</f>
      </c>
      <c r="C1" s="0">
        <f>Costs!H18</f>
      </c>
      <c r="D1">
        <f>'Total cycle time'!H62</f>
      </c>
      <c r="E1">
        <f>'Total cycle time'!H63</f>
      </c>
      <c r="F1">
        <f>'Resource consumption'!D11</f>
      </c>
      <c r="G1">
        <f>'Resource consumption'!D12</f>
      </c>
      <c r="H1">
        <f>Bottlenecks!E11</f>
      </c>
      <c r="I1">
        <f>'Bottlenecks'!E12</f>
      </c>
      <c r="J1" t="s">
        <v>46</v>
      </c>
    </row>
    <row r="2">
      <c r="A2" s="0">
        <f>Costs!A19</f>
      </c>
      <c r="B2" s="0">
        <f>Costs!H19</f>
      </c>
      <c r="C2" s="0">
        <f>Costs!H20</f>
      </c>
      <c r="D2" s="0">
        <f>'Total cycle time'!H64</f>
      </c>
      <c r="E2">
        <f>'Total cycle time'!H65</f>
      </c>
      <c r="F2">
        <f>'Resource consumption'!D13</f>
      </c>
      <c r="G2">
        <f>'Resource consumption'!D14</f>
      </c>
      <c r="H2">
        <f>Bottlenecks!E13</f>
      </c>
      <c r="I2">
        <f>'Bottlenecks'!E13</f>
      </c>
      <c r="J2" t="s">
        <v>47</v>
      </c>
    </row>
    <row r="3">
      <c r="A3" s="0">
        <f>Costs!A21</f>
      </c>
      <c r="B3" s="0">
        <f>Costs!H21</f>
      </c>
      <c r="C3" s="0">
        <f>Costs!H22</f>
      </c>
      <c r="D3" s="0">
        <f>'Total cycle time'!H66</f>
      </c>
      <c r="E3" s="0">
        <f>'Total cycle time'!H67</f>
      </c>
      <c r="F3">
        <f>'Resource consumption'!D15</f>
      </c>
      <c r="G3">
        <f>'Resource consumption'!D16</f>
      </c>
      <c r="H3">
        <f>Bottlenecks!E15</f>
      </c>
      <c r="I3">
        <f>'Bottlenecks'!E14</f>
      </c>
      <c r="J3" t="s">
        <v>68</v>
      </c>
    </row>
    <row r="4">
      <c r="A4" s="0">
        <f>Costs!A23</f>
      </c>
      <c r="B4" s="0">
        <f>Costs!H23</f>
      </c>
      <c r="C4" s="0">
        <f>Costs!H24</f>
      </c>
      <c r="D4" s="0">
        <f>'Total cycle time'!H68</f>
      </c>
      <c r="E4" s="0">
        <f>'Total cycle time'!H69</f>
      </c>
      <c r="F4" s="0">
        <f>'Resource consumption'!D17</f>
      </c>
      <c r="G4">
        <f>'Resource consumption'!D18</f>
      </c>
      <c r="H4">
        <f>Bottlenecks!E17</f>
      </c>
      <c r="I4">
        <f>'Bottlenecks'!E15</f>
      </c>
      <c r="J4" t="s">
        <v>69</v>
      </c>
    </row>
    <row r="5">
      <c r="A5" s="0">
        <f>Costs!A25</f>
      </c>
      <c r="B5" s="0">
        <f>Costs!H25</f>
      </c>
      <c r="C5" s="0">
        <f>Costs!H26</f>
      </c>
      <c r="D5" s="0">
        <f>'Total cycle time'!H70</f>
      </c>
      <c r="E5" s="0">
        <f>'Total cycle time'!H71</f>
      </c>
      <c r="F5" s="0">
        <f>'Resource consumption'!A11</f>
      </c>
      <c r="H5" s="0">
        <f>Bottlenecks!E19</f>
      </c>
      <c r="I5">
        <f>'Bottlenecks'!E16</f>
      </c>
      <c r="J5" t="s">
        <v>79</v>
      </c>
    </row>
    <row r="6">
      <c r="A6" s="0">
        <f>Costs!A27</f>
      </c>
      <c r="B6" s="0">
        <f>Costs!H27</f>
      </c>
      <c r="C6" s="0">
        <f>Costs!H28</f>
      </c>
      <c r="D6" s="0">
        <f>'Total cycle time'!H72</f>
      </c>
      <c r="E6" s="0">
        <f>'Total cycle time'!H73</f>
      </c>
      <c r="F6" s="0">
        <f>'Resource consumption'!A13</f>
      </c>
      <c r="H6" s="0">
        <f>Bottlenecks!E21</f>
      </c>
      <c r="I6">
        <f>'Bottlenecks'!E17</f>
      </c>
      <c r="J6" t="s">
        <v>80</v>
      </c>
    </row>
    <row r="7">
      <c r="A7" s="0">
        <f>Costs!A29</f>
      </c>
      <c r="B7" s="0">
        <f>Costs!H29</f>
      </c>
      <c r="C7" s="0">
        <f>Costs!H30</f>
      </c>
      <c r="D7" s="0">
        <f>'Total cycle time'!H74</f>
      </c>
      <c r="E7" s="0">
        <f>'Total cycle time'!H75</f>
      </c>
      <c r="F7" s="0">
        <f>'Resource consumption'!A15</f>
      </c>
      <c r="H7" s="0">
        <f>Bottlenecks!E23</f>
      </c>
      <c r="I7" s="0">
        <f>'Bottlenecks'!E18</f>
      </c>
      <c r="J7" t="s">
        <v>87</v>
      </c>
    </row>
    <row r="8">
      <c r="A8" s="0">
        <f>Costs!A31</f>
      </c>
      <c r="B8" s="0">
        <f>Costs!H31</f>
      </c>
      <c r="C8" s="0">
        <f>Costs!H32</f>
      </c>
      <c r="D8" s="0">
        <f>'Total cycle time'!H76</f>
      </c>
      <c r="E8" s="0">
        <f>'Total cycle time'!H77</f>
      </c>
      <c r="F8" s="0">
        <f>'Resource consumption'!A17</f>
      </c>
      <c r="H8" s="0">
        <f>Bottlenecks!E25</f>
      </c>
      <c r="I8" s="0">
        <f>'Bottlenecks'!E19</f>
      </c>
      <c r="J8" t="s" s="0">
        <v>88</v>
      </c>
    </row>
    <row r="9">
      <c r="A9" s="0">
        <f>Costs!A33</f>
      </c>
      <c r="B9" s="0">
        <f>Costs!H33</f>
      </c>
      <c r="C9" s="0">
        <f>Costs!H34</f>
      </c>
      <c r="D9" s="0">
        <f>'Total cycle time'!H78</f>
      </c>
      <c r="E9" s="0">
        <f>'Total cycle time'!H79</f>
      </c>
      <c r="H9" s="0">
        <f>Bottlenecks!E27</f>
      </c>
      <c r="I9" s="0">
        <f>'Bottlenecks'!E20</f>
      </c>
    </row>
    <row r="10">
      <c r="A10" s="0">
        <f>Costs!A35</f>
      </c>
      <c r="B10" s="0">
        <f>Costs!H35</f>
      </c>
      <c r="C10" s="0">
        <f>Costs!H36</f>
      </c>
      <c r="D10" s="0">
        <f>'Total cycle time'!H80</f>
      </c>
      <c r="E10" s="0">
        <f>'Total cycle time'!H81</f>
      </c>
      <c r="H10" s="0">
        <f>Bottlenecks!E29</f>
      </c>
      <c r="I10" s="0">
        <f>'Bottlenecks'!E21</f>
      </c>
    </row>
    <row r="11">
      <c r="A11" s="0">
        <f>Costs!A37</f>
      </c>
      <c r="B11" s="0">
        <f>Costs!H37</f>
      </c>
      <c r="C11" s="0">
        <f>Costs!H38</f>
      </c>
      <c r="D11" s="0">
        <f>'Total cycle time'!H82</f>
      </c>
      <c r="E11" s="0">
        <f>'Total cycle time'!H83</f>
      </c>
      <c r="H11" s="0">
        <f>Bottlenecks!E31</f>
      </c>
      <c r="I11" s="0">
        <f>'Bottlenecks'!E22</f>
      </c>
    </row>
    <row r="12">
      <c r="A12" s="0">
        <f>Costs!A39</f>
      </c>
      <c r="B12" s="0">
        <f>Costs!H39</f>
      </c>
      <c r="C12" s="0">
        <f>Costs!H40</f>
      </c>
      <c r="D12" s="0">
        <f>'Total cycle time'!H84</f>
      </c>
      <c r="E12" s="0">
        <f>'Total cycle time'!H85</f>
      </c>
      <c r="H12" s="0">
        <f>Bottlenecks!E33</f>
      </c>
      <c r="I12" s="0">
        <f>'Bottlenecks'!E23</f>
      </c>
    </row>
    <row r="13">
      <c r="A13" s="0">
        <f>Costs!A41</f>
      </c>
      <c r="B13" s="0">
        <f>Costs!H41</f>
      </c>
      <c r="C13" s="0">
        <f>Costs!H42</f>
      </c>
      <c r="D13" s="0">
        <f>'Total cycle time'!H86</f>
      </c>
      <c r="E13" s="0">
        <f>'Total cycle time'!H87</f>
      </c>
      <c r="H13" s="0">
        <f>Bottlenecks!E35</f>
      </c>
      <c r="I13" s="0">
        <f>'Bottlenecks'!E24</f>
      </c>
    </row>
    <row r="14">
      <c r="A14" s="0">
        <f>Costs!A43</f>
      </c>
      <c r="B14" s="0">
        <f>Costs!H43</f>
      </c>
      <c r="C14" s="0">
        <f>Costs!H44</f>
      </c>
      <c r="D14" s="0">
        <f>'Total cycle time'!H88</f>
      </c>
      <c r="E14" s="0">
        <f>'Total cycle time'!H89</f>
      </c>
      <c r="H14" s="0">
        <f>Bottlenecks!E37</f>
      </c>
      <c r="I14" s="0">
        <f>'Bottlenecks'!E25</f>
      </c>
    </row>
    <row r="15">
      <c r="A15" s="0">
        <f>Costs!A45</f>
      </c>
      <c r="B15" s="0">
        <f>Costs!H45</f>
      </c>
      <c r="C15" s="0">
        <f>Costs!H46</f>
      </c>
      <c r="D15" s="0">
        <f>'Total cycle time'!H90</f>
      </c>
      <c r="E15" s="0">
        <f>'Total cycle time'!H91</f>
      </c>
      <c r="H15" s="0">
        <f>Bottlenecks!E39</f>
      </c>
      <c r="I15" s="0">
        <f>'Bottlenecks'!E26</f>
      </c>
    </row>
    <row r="16">
      <c r="A16" s="0">
        <f>Costs!A47</f>
      </c>
      <c r="B16" s="0">
        <f>Costs!H47</f>
      </c>
      <c r="C16" s="0">
        <f>Costs!H48</f>
      </c>
      <c r="D16" s="0">
        <f>'Total cycle time'!H92</f>
      </c>
      <c r="E16" s="0">
        <f>'Total cycle time'!H93</f>
      </c>
      <c r="H16" s="0">
        <f>Bottlenecks!E41</f>
      </c>
      <c r="I16" s="0">
        <f>'Bottlenecks'!E27</f>
      </c>
    </row>
    <row r="17">
      <c r="A17" s="0">
        <f>Costs!A49</f>
      </c>
      <c r="B17" s="0">
        <f>Costs!H49</f>
      </c>
      <c r="C17" s="0">
        <f>Costs!H50</f>
      </c>
      <c r="D17" s="0">
        <f>'Total cycle time'!H94</f>
      </c>
      <c r="E17" s="0">
        <f>'Total cycle time'!H95</f>
      </c>
      <c r="H17" s="0">
        <f>Bottlenecks!E43</f>
      </c>
      <c r="I17" s="0">
        <f>'Bottlenecks'!E28</f>
      </c>
    </row>
    <row r="18">
      <c r="A18" s="0">
        <f>Costs!A51</f>
      </c>
      <c r="B18" s="0">
        <f>Costs!H51</f>
      </c>
      <c r="C18" s="0">
        <f>Costs!H52</f>
      </c>
      <c r="D18" s="0">
        <f>'Total cycle time'!H96</f>
      </c>
      <c r="E18" s="0">
        <f>'Total cycle time'!H97</f>
      </c>
      <c r="H18" s="0">
        <f>Bottlenecks!E45</f>
      </c>
      <c r="I18" s="0">
        <f>'Bottlenecks'!E29</f>
      </c>
    </row>
  </sheetData>
  <pageMargins left="0.7" right="0.7" top="0.78740157499999996" bottom="0.78740157499999996" header="0.3" footer="0.3"/>
  <pageSetup orientation="portrait" r:id="rId1"/>
</worksheet>
</file>

<file path=xl/worksheets/sheet16.xml><?xml version="1.0" encoding="utf-8"?>
<worksheet xmlns="http://schemas.openxmlformats.org/spreadsheetml/2006/main">
  <dimension ref="A1:C50"/>
  <sheetViews>
    <sheetView workbookViewId="0"/>
  </sheetViews>
  <sheetFormatPr defaultRowHeight="15.0" baseColWidth="20" outlineLevelRow="2"/>
  <cols>
    <col min="1" max="1" width="42.32421875" customWidth="true" bestFit="true"/>
    <col min="2" max="2" width="52.875" customWidth="true" bestFit="true"/>
    <col min="3" max="3" width="14.253906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3">
        <v>89</v>
      </c>
    </row>
    <row r="8" outlineLevel="1"/>
    <row r="9" outlineLevel="1">
      <c r="A9" t="s" s="5">
        <v>26</v>
      </c>
      <c r="B9" t="s" s="5">
        <v>90</v>
      </c>
      <c r="C9" t="s" s="5">
        <v>91</v>
      </c>
    </row>
    <row r="10" outlineLevel="1">
      <c r="A10" t="s" s="6">
        <v>28</v>
      </c>
      <c r="B10" t="n" s="10">
        <v>200.0</v>
      </c>
      <c r="C10" t="s" s="7">
        <v>92</v>
      </c>
    </row>
    <row r="11" outlineLevel="1">
      <c r="A11" t="s" s="6">
        <v>29</v>
      </c>
      <c r="B11" t="n" s="10">
        <v>100.0</v>
      </c>
      <c r="C11" t="s" s="7">
        <v>93</v>
      </c>
    </row>
    <row r="12" outlineLevel="1">
      <c r="A12" t="s" s="6">
        <v>30</v>
      </c>
      <c r="B12" t="n" s="10">
        <v>150.0</v>
      </c>
      <c r="C12" t="s" s="7">
        <v>94</v>
      </c>
    </row>
    <row r="13" outlineLevel="1">
      <c r="A13" t="s" s="6">
        <v>31</v>
      </c>
      <c r="B13" t="n" s="10">
        <v>500.0</v>
      </c>
      <c r="C13" t="s" s="7">
        <v>95</v>
      </c>
    </row>
    <row r="14" outlineLevel="1">
      <c r="A14" t="s" s="6">
        <v>32</v>
      </c>
      <c r="B14" t="n" s="10">
        <v>50.0</v>
      </c>
      <c r="C14" t="s" s="7">
        <v>96</v>
      </c>
    </row>
    <row r="15" outlineLevel="1">
      <c r="A15" t="s" s="6">
        <v>33</v>
      </c>
      <c r="B15" t="n" s="10">
        <v>100.0</v>
      </c>
      <c r="C15" t="s" s="7">
        <v>93</v>
      </c>
    </row>
    <row r="16" outlineLevel="1">
      <c r="A16" t="s" s="6">
        <v>34</v>
      </c>
      <c r="B16" t="n" s="10">
        <v>400.0</v>
      </c>
      <c r="C16" t="s" s="7">
        <v>92</v>
      </c>
    </row>
    <row r="17" outlineLevel="1">
      <c r="A17" t="s" s="6">
        <v>35</v>
      </c>
      <c r="B17" t="n" s="10">
        <v>500.0</v>
      </c>
      <c r="C17" t="s" s="7">
        <v>97</v>
      </c>
    </row>
    <row r="18" outlineLevel="1">
      <c r="A18" t="s" s="6">
        <v>36</v>
      </c>
      <c r="B18" t="n" s="10">
        <v>300.0</v>
      </c>
      <c r="C18" t="s" s="7">
        <v>96</v>
      </c>
    </row>
    <row r="19" outlineLevel="1">
      <c r="A19" t="s" s="6">
        <v>37</v>
      </c>
      <c r="B19" t="n" s="10">
        <v>50.0</v>
      </c>
      <c r="C19" t="s" s="7">
        <v>98</v>
      </c>
    </row>
    <row r="20" outlineLevel="1">
      <c r="A20" t="s" s="6">
        <v>38</v>
      </c>
      <c r="B20" t="n" s="10">
        <v>400.0</v>
      </c>
      <c r="C20" t="s" s="7">
        <v>96</v>
      </c>
    </row>
    <row r="21" outlineLevel="1">
      <c r="A21" t="s" s="6">
        <v>39</v>
      </c>
      <c r="B21" t="n" s="10">
        <v>50.0</v>
      </c>
      <c r="C21" t="s" s="7">
        <v>94</v>
      </c>
    </row>
    <row r="22" outlineLevel="1">
      <c r="A22" t="s" s="6">
        <v>40</v>
      </c>
      <c r="B22" t="n" s="10">
        <v>150.0</v>
      </c>
      <c r="C22" t="s" s="7">
        <v>99</v>
      </c>
    </row>
    <row r="23" outlineLevel="1">
      <c r="A23" t="s" s="6">
        <v>41</v>
      </c>
      <c r="B23" t="n" s="10">
        <v>500.0</v>
      </c>
      <c r="C23" t="s" s="7">
        <v>97</v>
      </c>
    </row>
    <row r="24" outlineLevel="1">
      <c r="A24" t="s" s="6">
        <v>42</v>
      </c>
      <c r="B24" t="n" s="10">
        <v>1000.0</v>
      </c>
      <c r="C24" t="s" s="7">
        <v>100</v>
      </c>
    </row>
    <row r="25" outlineLevel="1">
      <c r="A25" t="s" s="6">
        <v>43</v>
      </c>
      <c r="B25" t="n" s="10">
        <v>800.0</v>
      </c>
      <c r="C25" t="s" s="7">
        <v>101</v>
      </c>
    </row>
    <row r="26" outlineLevel="1">
      <c r="A26" t="s" s="6">
        <v>44</v>
      </c>
      <c r="B26" t="n" s="10">
        <v>870.0</v>
      </c>
      <c r="C26" t="s" s="7">
        <v>101</v>
      </c>
    </row>
    <row r="27" outlineLevel="1">
      <c r="A27" t="s" s="6">
        <v>45</v>
      </c>
      <c r="B27" t="n" s="10">
        <v>800.0</v>
      </c>
      <c r="C27" t="s" s="7">
        <v>98</v>
      </c>
    </row>
    <row r="30">
      <c r="A30" s="3" t="s">
        <v>102</v>
      </c>
    </row>
    <row r="31" outlineLevel="1"/>
    <row r="32" outlineLevel="1">
      <c r="A32" t="s" s="5">
        <v>103</v>
      </c>
      <c r="B32" t="s" s="5">
        <v>104</v>
      </c>
    </row>
    <row r="33" outlineLevel="2">
      <c r="A33" t="s" s="6">
        <v>105</v>
      </c>
      <c r="B33" t="s" s="6">
        <v>106</v>
      </c>
    </row>
    <row r="34" outlineLevel="1"/>
    <row r="35" outlineLevel="1">
      <c r="A35" t="s" s="5">
        <v>107</v>
      </c>
      <c r="B35" t="s" s="5">
        <v>108</v>
      </c>
      <c r="C35" t="s" s="5">
        <v>109</v>
      </c>
    </row>
    <row r="36" outlineLevel="2">
      <c r="A36" t="s" s="6">
        <v>110</v>
      </c>
      <c r="B36" t="s" s="6">
        <v>111</v>
      </c>
      <c r="C36" t="n" s="9">
        <v>0.2</v>
      </c>
    </row>
    <row r="37" outlineLevel="2">
      <c r="A37" s="74"/>
      <c r="B37" t="s" s="6">
        <v>112</v>
      </c>
      <c r="C37" t="n" s="9">
        <v>0.8</v>
      </c>
    </row>
    <row r="38" outlineLevel="2">
      <c r="A38" t="s" s="6">
        <v>113</v>
      </c>
      <c r="B38" t="s" s="6">
        <v>114</v>
      </c>
      <c r="C38" t="n" s="9">
        <v>0.8</v>
      </c>
    </row>
    <row r="39" outlineLevel="2">
      <c r="A39" s="74"/>
      <c r="B39" t="s" s="6">
        <v>112</v>
      </c>
      <c r="C39" t="n" s="9">
        <v>0.2</v>
      </c>
    </row>
    <row r="40" outlineLevel="2">
      <c r="A40" t="s" s="6">
        <v>115</v>
      </c>
      <c r="B40" t="s" s="6">
        <v>114</v>
      </c>
      <c r="C40" t="n" s="9">
        <v>0.97</v>
      </c>
    </row>
    <row r="41" outlineLevel="2">
      <c r="A41" s="74"/>
      <c r="B41" t="s" s="6">
        <v>112</v>
      </c>
      <c r="C41" t="n" s="9">
        <v>0.03</v>
      </c>
    </row>
    <row r="44">
      <c r="A44" t="s" s="3">
        <v>72</v>
      </c>
    </row>
    <row r="45" outlineLevel="1"/>
    <row r="46" outlineLevel="1">
      <c r="A46" t="s" s="5">
        <v>116</v>
      </c>
      <c r="B46" t="s" s="5">
        <v>117</v>
      </c>
      <c r="C46" t="s" s="5">
        <v>118</v>
      </c>
    </row>
    <row r="47" outlineLevel="1">
      <c r="A47" t="s" s="6">
        <v>77</v>
      </c>
      <c r="B47" t="s" s="6">
        <v>119</v>
      </c>
      <c r="C47" t="n" s="10">
        <v>50.0</v>
      </c>
    </row>
    <row r="48" outlineLevel="1">
      <c r="A48" t="s" s="6">
        <v>75</v>
      </c>
      <c r="B48" t="s" s="6">
        <v>119</v>
      </c>
      <c r="C48" t="n" s="10">
        <v>50.0</v>
      </c>
    </row>
    <row r="49" outlineLevel="1">
      <c r="A49" t="s" s="6">
        <v>76</v>
      </c>
      <c r="B49" t="s" s="6">
        <v>119</v>
      </c>
      <c r="C49" t="n" s="10">
        <v>50.0</v>
      </c>
    </row>
    <row r="50" outlineLevel="1">
      <c r="A50" t="s" s="6">
        <v>78</v>
      </c>
      <c r="B50" t="s" s="6">
        <v>119</v>
      </c>
      <c r="C50" t="n" s="10">
        <v>50.0</v>
      </c>
    </row>
  </sheetData>
  <mergeCells count="3">
    <mergeCell ref="A36:A37"/>
    <mergeCell ref="A38:A39"/>
    <mergeCell ref="A40:A41"/>
  </mergeCells>
  <pageMargins bottom="0.75" footer="0.3" header="0.3" left="0.7" right="0.7" top="0.75"/>
</worksheet>
</file>

<file path=xl/worksheets/sheet17.xml><?xml version="1.0" encoding="utf-8"?>
<worksheet xmlns="http://schemas.openxmlformats.org/spreadsheetml/2006/main">
  <dimension ref="A1:C50"/>
  <sheetViews>
    <sheetView workbookViewId="0"/>
  </sheetViews>
  <sheetFormatPr defaultRowHeight="15.0" baseColWidth="20" outlineLevelRow="2"/>
  <cols>
    <col min="1" max="1" width="42.32421875" customWidth="true" bestFit="true"/>
    <col min="2" max="2" width="52.875" customWidth="true" bestFit="true"/>
    <col min="3" max="3" width="14.25390625" customWidth="true" bestFit="true"/>
  </cols>
  <sheetData>
    <row r="1">
      <c r="A1" t="s" s="71">
        <v>0</v>
      </c>
      <c r="B1" t="s" s="72">
        <v>1</v>
      </c>
    </row>
    <row r="2">
      <c r="A2" t="s" s="69">
        <v>2</v>
      </c>
      <c r="B2" t="s" s="67">
        <v>3</v>
      </c>
    </row>
    <row r="3">
      <c r="A3" t="s" s="69">
        <v>4</v>
      </c>
      <c r="B3" t="s" s="67">
        <v>5</v>
      </c>
    </row>
    <row r="4">
      <c r="A4" t="s" s="69">
        <v>6</v>
      </c>
      <c r="B4" t="s" s="67">
        <v>7</v>
      </c>
    </row>
    <row r="5">
      <c r="A5" t="s" s="70">
        <v>8</v>
      </c>
      <c r="B5" t="s" s="68">
        <v>9</v>
      </c>
    </row>
    <row r="7">
      <c r="A7" t="s" s="3">
        <v>89</v>
      </c>
    </row>
    <row r="8" outlineLevel="1"/>
    <row r="9" outlineLevel="1">
      <c r="A9" t="s" s="5">
        <v>26</v>
      </c>
      <c r="B9" t="s" s="5">
        <v>90</v>
      </c>
      <c r="C9" t="s" s="5">
        <v>91</v>
      </c>
    </row>
    <row r="10" outlineLevel="1">
      <c r="A10" t="s" s="6">
        <v>28</v>
      </c>
      <c r="B10" t="n" s="10">
        <v>200.0</v>
      </c>
      <c r="C10" t="s" s="7">
        <v>92</v>
      </c>
    </row>
    <row r="11" outlineLevel="1">
      <c r="A11" t="s" s="6">
        <v>29</v>
      </c>
      <c r="B11" t="n" s="10">
        <v>100.0</v>
      </c>
      <c r="C11" t="s" s="7">
        <v>93</v>
      </c>
    </row>
    <row r="12" outlineLevel="1">
      <c r="A12" t="s" s="6">
        <v>30</v>
      </c>
      <c r="B12" t="n" s="10">
        <v>150.0</v>
      </c>
      <c r="C12" t="s" s="7">
        <v>94</v>
      </c>
    </row>
    <row r="13" outlineLevel="1">
      <c r="A13" t="s" s="6">
        <v>31</v>
      </c>
      <c r="B13" t="n" s="10">
        <v>500.0</v>
      </c>
      <c r="C13" t="s" s="7">
        <v>95</v>
      </c>
    </row>
    <row r="14" outlineLevel="1">
      <c r="A14" t="s" s="6">
        <v>32</v>
      </c>
      <c r="B14" t="n" s="10">
        <v>50.0</v>
      </c>
      <c r="C14" t="s" s="7">
        <v>96</v>
      </c>
    </row>
    <row r="15" outlineLevel="1">
      <c r="A15" t="s" s="6">
        <v>33</v>
      </c>
      <c r="B15" t="n" s="10">
        <v>100.0</v>
      </c>
      <c r="C15" t="s" s="7">
        <v>93</v>
      </c>
    </row>
    <row r="16" outlineLevel="1">
      <c r="A16" t="s" s="6">
        <v>34</v>
      </c>
      <c r="B16" t="n" s="10">
        <v>400.0</v>
      </c>
      <c r="C16" t="s" s="7">
        <v>92</v>
      </c>
    </row>
    <row r="17" outlineLevel="1">
      <c r="A17" t="s" s="6">
        <v>35</v>
      </c>
      <c r="B17" t="n" s="10">
        <v>500.0</v>
      </c>
      <c r="C17" t="s" s="7">
        <v>97</v>
      </c>
    </row>
    <row r="18" outlineLevel="1">
      <c r="A18" t="s" s="6">
        <v>36</v>
      </c>
      <c r="B18" t="n" s="10">
        <v>300.0</v>
      </c>
      <c r="C18" t="s" s="7">
        <v>96</v>
      </c>
    </row>
    <row r="19" outlineLevel="1">
      <c r="A19" t="s" s="6">
        <v>37</v>
      </c>
      <c r="B19" t="n" s="10">
        <v>50.0</v>
      </c>
      <c r="C19" t="s" s="7">
        <v>98</v>
      </c>
    </row>
    <row r="20" outlineLevel="1">
      <c r="A20" t="s" s="6">
        <v>38</v>
      </c>
      <c r="B20" t="n" s="10">
        <v>400.0</v>
      </c>
      <c r="C20" t="s" s="7">
        <v>96</v>
      </c>
    </row>
    <row r="21" outlineLevel="1">
      <c r="A21" t="s" s="6">
        <v>39</v>
      </c>
      <c r="B21" t="n" s="10">
        <v>50.0</v>
      </c>
      <c r="C21" t="s" s="7">
        <v>94</v>
      </c>
    </row>
    <row r="22" outlineLevel="1">
      <c r="A22" t="s" s="6">
        <v>40</v>
      </c>
      <c r="B22" t="n" s="10">
        <v>150.0</v>
      </c>
      <c r="C22" t="s" s="7">
        <v>99</v>
      </c>
    </row>
    <row r="23" outlineLevel="1">
      <c r="A23" t="s" s="6">
        <v>41</v>
      </c>
      <c r="B23" t="n" s="10">
        <v>500.0</v>
      </c>
      <c r="C23" t="s" s="7">
        <v>97</v>
      </c>
    </row>
    <row r="24" outlineLevel="1">
      <c r="A24" t="s" s="6">
        <v>42</v>
      </c>
      <c r="B24" t="n" s="10">
        <v>1000.0</v>
      </c>
      <c r="C24" t="s" s="7">
        <v>100</v>
      </c>
    </row>
    <row r="25" outlineLevel="1">
      <c r="A25" t="s" s="6">
        <v>43</v>
      </c>
      <c r="B25" t="n" s="10">
        <v>800.0</v>
      </c>
      <c r="C25" t="s" s="7">
        <v>101</v>
      </c>
    </row>
    <row r="26" outlineLevel="1">
      <c r="A26" t="s" s="6">
        <v>44</v>
      </c>
      <c r="B26" t="n" s="10">
        <v>870.0</v>
      </c>
      <c r="C26" t="s" s="7">
        <v>101</v>
      </c>
    </row>
    <row r="27" outlineLevel="1">
      <c r="A27" t="s" s="6">
        <v>45</v>
      </c>
      <c r="B27" t="n" s="10">
        <v>800.0</v>
      </c>
      <c r="C27" t="s" s="7">
        <v>98</v>
      </c>
    </row>
    <row r="30">
      <c r="A30" s="3" t="s">
        <v>102</v>
      </c>
    </row>
    <row r="31" outlineLevel="1"/>
    <row r="32" outlineLevel="1">
      <c r="A32" t="s" s="5">
        <v>103</v>
      </c>
      <c r="B32" t="s" s="5">
        <v>104</v>
      </c>
    </row>
    <row r="33" outlineLevel="2">
      <c r="A33" t="s" s="6">
        <v>105</v>
      </c>
      <c r="B33" t="s" s="6">
        <v>106</v>
      </c>
    </row>
    <row r="34" outlineLevel="1"/>
    <row r="35" outlineLevel="1">
      <c r="A35" t="s" s="5">
        <v>107</v>
      </c>
      <c r="B35" t="s" s="5">
        <v>108</v>
      </c>
      <c r="C35" t="s" s="5">
        <v>109</v>
      </c>
    </row>
    <row r="36" outlineLevel="2">
      <c r="A36" t="s" s="6">
        <v>110</v>
      </c>
      <c r="B36" t="s" s="6">
        <v>111</v>
      </c>
      <c r="C36" t="n" s="9">
        <v>0.5</v>
      </c>
    </row>
    <row r="37" outlineLevel="2">
      <c r="A37" s="74"/>
      <c r="B37" t="s" s="6">
        <v>112</v>
      </c>
      <c r="C37" t="n" s="9">
        <v>0.5</v>
      </c>
    </row>
    <row r="38" outlineLevel="2">
      <c r="A38" t="s" s="6">
        <v>113</v>
      </c>
      <c r="B38" t="s" s="6">
        <v>114</v>
      </c>
      <c r="C38" t="n" s="9">
        <v>0.5</v>
      </c>
    </row>
    <row r="39" outlineLevel="2">
      <c r="A39" s="74"/>
      <c r="B39" t="s" s="6">
        <v>112</v>
      </c>
      <c r="C39" t="n" s="9">
        <v>0.5</v>
      </c>
    </row>
    <row r="40" outlineLevel="2">
      <c r="A40" t="s" s="6">
        <v>115</v>
      </c>
      <c r="B40" t="s" s="6">
        <v>114</v>
      </c>
      <c r="C40" t="n" s="9">
        <v>0.5</v>
      </c>
    </row>
    <row r="41" outlineLevel="2">
      <c r="A41" s="74"/>
      <c r="B41" t="s" s="6">
        <v>112</v>
      </c>
      <c r="C41" t="n" s="9">
        <v>0.5</v>
      </c>
    </row>
    <row r="44">
      <c r="A44" t="s" s="3">
        <v>72</v>
      </c>
    </row>
    <row r="45" outlineLevel="1"/>
    <row r="46" outlineLevel="1">
      <c r="A46" t="s" s="5">
        <v>116</v>
      </c>
      <c r="B46" t="s" s="5">
        <v>117</v>
      </c>
      <c r="C46" t="s" s="5">
        <v>118</v>
      </c>
    </row>
    <row r="47" outlineLevel="1">
      <c r="A47" t="s" s="6">
        <v>77</v>
      </c>
      <c r="B47" t="s" s="6">
        <v>119</v>
      </c>
      <c r="C47" t="n" s="10">
        <v>50.0</v>
      </c>
    </row>
    <row r="48" outlineLevel="1">
      <c r="A48" t="s" s="6">
        <v>75</v>
      </c>
      <c r="B48" t="s" s="6">
        <v>119</v>
      </c>
      <c r="C48" t="n" s="10">
        <v>50.0</v>
      </c>
    </row>
    <row r="49" outlineLevel="1">
      <c r="A49" t="s" s="6">
        <v>76</v>
      </c>
      <c r="B49" t="s" s="6">
        <v>119</v>
      </c>
      <c r="C49" t="n" s="10">
        <v>50.0</v>
      </c>
    </row>
    <row r="50" outlineLevel="1">
      <c r="A50" t="s" s="6">
        <v>78</v>
      </c>
      <c r="B50" t="s" s="6">
        <v>119</v>
      </c>
      <c r="C50" t="n" s="10">
        <v>50.0</v>
      </c>
    </row>
  </sheetData>
  <mergeCells count="3">
    <mergeCell ref="A36:A37"/>
    <mergeCell ref="A38:A39"/>
    <mergeCell ref="A40:A41"/>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vt:i4>
      </vt:variant>
    </vt:vector>
  </HeadingPairs>
  <TitlesOfParts>
    <vt:vector size="13" baseType="lpstr">
      <vt:lpstr>Überblick</vt:lpstr>
      <vt:lpstr>Kosten</vt:lpstr>
      <vt:lpstr>Kosten_Diagramme</vt:lpstr>
      <vt:lpstr>Gesamtdurchlaufszeit</vt:lpstr>
      <vt:lpstr>Gesamtdurchlaufszeit_Diagramme</vt:lpstr>
      <vt:lpstr>Ressourcenverbrauch</vt:lpstr>
      <vt:lpstr>Ressourcenverbrauch_Diagramme</vt:lpstr>
      <vt:lpstr>Flaschenhälse</vt:lpstr>
      <vt:lpstr>Flaschenhälse_Diagramme</vt:lpstr>
      <vt:lpstr>Flaschenhälse_Diagramme (2)</vt:lpstr>
      <vt:lpstr>Flaschenhälse_Diagramme (3)</vt:lpstr>
      <vt:lpstr>hiddenData</vt:lpstr>
      <vt:lpstr>Resources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2013-09-04T15:20:55Z</dcterms:created>
  <dc:creator>Apache POI</dc:creator>
  <cp:lastModifiedBy>Stefan Krumnow</cp:lastModifiedBy>
  <dcterms:modified xsi:type="dcterms:W3CDTF">2014-08-29T14:02:51Z</dcterms:modified>
</cp:coreProperties>
</file>